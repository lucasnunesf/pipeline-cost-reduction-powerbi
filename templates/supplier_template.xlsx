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osals" sheetId="1" state="visible" r:id="rId3"/>
    <sheet name="Read me" sheetId="2" state="visible" r:id="rId4"/>
    <sheet name="Lists" sheetId="3" state="visible" r:id="rId5"/>
  </sheets>
  <definedNames>
    <definedName function="false" hidden="true" localSheetId="0" name="_xlnm._FilterDatabase" vbProcedure="false">Proposals!$A$7:$S$207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<sst xmlns="http://schemas.openxmlformats.org/spreadsheetml/2006/main" count="127" uniqueCount="84">
  <si>
    <t xml:space="preserve">Cost Reduction Proposals</t>
  </si>
  <si>
    <t xml:space="preserve">Fill in the yellow cells. Grey cells are calculated. Row 8 is an example of the expected format.</t>
  </si>
  <si>
    <t xml:space="preserve">Supplier</t>
  </si>
  <si>
    <t xml:space="preserve">Supplier 001</t>
  </si>
  <si>
    <t xml:space="preserve">Supplier code</t>
  </si>
  <si>
    <t xml:space="preserve">S001</t>
  </si>
  <si>
    <t xml:space="preserve">Commodity group</t>
  </si>
  <si>
    <t xml:space="preserve">Group 1</t>
  </si>
  <si>
    <t xml:space="preserve">Last update</t>
  </si>
  <si>
    <t xml:space="preserve">Idea ID</t>
  </si>
  <si>
    <t xml:space="preserve">Proposal name</t>
  </si>
  <si>
    <t xml:space="preserve">Description</t>
  </si>
  <si>
    <t xml:space="preserve">Responsible (supplier)</t>
  </si>
  <si>
    <t xml:space="preserve">Buyer</t>
  </si>
  <si>
    <t xml:space="preserve">Areas involved</t>
  </si>
  <si>
    <t xml:space="preserve">Vehicle</t>
  </si>
  <si>
    <t xml:space="preserve">Part number</t>
  </si>
  <si>
    <t xml:space="preserve">Current cost (USD/unit)</t>
  </si>
  <si>
    <t xml:space="preserve">New cost (USD/unit)</t>
  </si>
  <si>
    <t xml:space="preserve">Reduction (USD/unit)</t>
  </si>
  <si>
    <t xml:space="preserve">Reduction (%)</t>
  </si>
  <si>
    <t xml:space="preserve">Annual volume (units)</t>
  </si>
  <si>
    <t xml:space="preserve">Annual saving (USD K)</t>
  </si>
  <si>
    <t xml:space="preserve">Status</t>
  </si>
  <si>
    <t xml:space="preserve">Submission date</t>
  </si>
  <si>
    <t xml:space="preserve">Planned implementation date</t>
  </si>
  <si>
    <t xml:space="preserve">Actual implementation date</t>
  </si>
  <si>
    <t xml:space="preserve">Comments</t>
  </si>
  <si>
    <t xml:space="preserve">CR-S001-001</t>
  </si>
  <si>
    <t xml:space="preserve">Change packaging to returnable boxes</t>
  </si>
  <si>
    <t xml:space="preserve">Replace cardboard with returnable plastic boxes for door panels</t>
  </si>
  <si>
    <t xml:space="preserve">M. Costa</t>
  </si>
  <si>
    <t xml:space="preserve">Buyer 2</t>
  </si>
  <si>
    <t xml:space="preserve">Logistics; Quality</t>
  </si>
  <si>
    <t xml:space="preserve">Vehicle 3</t>
  </si>
  <si>
    <t xml:space="preserve">PN-48213</t>
  </si>
  <si>
    <t xml:space="preserve">Approved</t>
  </si>
  <si>
    <t xml:space="preserve">Supplier needs 2 months to buy the boxes</t>
  </si>
  <si>
    <t xml:space="preserve">How to fill in this template</t>
  </si>
  <si>
    <t xml:space="preserve">Column</t>
  </si>
  <si>
    <t xml:space="preserve">Filled by</t>
  </si>
  <si>
    <t xml:space="preserve">Rule</t>
  </si>
  <si>
    <t xml:space="preserve">Unique code: CR-&lt;supplier code&gt;-&lt;sequence&gt;. Never reuse an ID.</t>
  </si>
  <si>
    <t xml:space="preserve">Short title of the idea.</t>
  </si>
  <si>
    <t xml:space="preserve">What changes and why it reduces cost.</t>
  </si>
  <si>
    <t xml:space="preserve">Person at the supplier who owns the idea.</t>
  </si>
  <si>
    <t xml:space="preserve">Buyer responsible for this supplier (list).</t>
  </si>
  <si>
    <t xml:space="preserve">Areas that must approve or act. Separate with ';'. Values: Engineering, Quality, Logistics, Production, Purchasing.</t>
  </si>
  <si>
    <t xml:space="preserve">Vehicle affected by the change (list).</t>
  </si>
  <si>
    <t xml:space="preserve">Part affected by the change.</t>
  </si>
  <si>
    <t xml:space="preserve">Price paid today per unit.</t>
  </si>
  <si>
    <t xml:space="preserve">Price per unit after the change.</t>
  </si>
  <si>
    <t xml:space="preserve">Calculated</t>
  </si>
  <si>
    <t xml:space="preserve">Current cost minus new cost.</t>
  </si>
  <si>
    <t xml:space="preserve">Reduction divided by current cost.</t>
  </si>
  <si>
    <t xml:space="preserve">Expected units per year.</t>
  </si>
  <si>
    <t xml:space="preserve">Reduction x annual volume, in USD thousands.</t>
  </si>
  <si>
    <t xml:space="preserve">Supplier / Buyer</t>
  </si>
  <si>
    <t xml:space="preserve">Proposed &gt; Under study &gt; Approved &gt; Implemented. Cancelled if dropped.</t>
  </si>
  <si>
    <t xml:space="preserve">Date the idea was first sent.</t>
  </si>
  <si>
    <t xml:space="preserve">Date the saving is expected to start.</t>
  </si>
  <si>
    <t xml:space="preserve">Fill only when the change is in production.</t>
  </si>
  <si>
    <t xml:space="preserve">Anyone</t>
  </si>
  <si>
    <t xml:space="preserve">Free text.</t>
  </si>
  <si>
    <t xml:space="preserve">Area</t>
  </si>
  <si>
    <t xml:space="preserve">Proposed</t>
  </si>
  <si>
    <t xml:space="preserve">Buyer 1</t>
  </si>
  <si>
    <t xml:space="preserve">Vehicle 1</t>
  </si>
  <si>
    <t xml:space="preserve">Engineering</t>
  </si>
  <si>
    <t xml:space="preserve">Under study</t>
  </si>
  <si>
    <t xml:space="preserve">Vehicle 2</t>
  </si>
  <si>
    <t xml:space="preserve">Quality</t>
  </si>
  <si>
    <t xml:space="preserve">Group 2</t>
  </si>
  <si>
    <t xml:space="preserve">Buyer 3</t>
  </si>
  <si>
    <t xml:space="preserve">Logistics</t>
  </si>
  <si>
    <t xml:space="preserve">Group 3</t>
  </si>
  <si>
    <t xml:space="preserve">Implemented</t>
  </si>
  <si>
    <t xml:space="preserve">Buyer 4</t>
  </si>
  <si>
    <t xml:space="preserve">Vehicle 4</t>
  </si>
  <si>
    <t xml:space="preserve">Production</t>
  </si>
  <si>
    <t xml:space="preserve">Group 4</t>
  </si>
  <si>
    <t xml:space="preserve">Cancelled</t>
  </si>
  <si>
    <t xml:space="preserve">Vehicle 5</t>
  </si>
  <si>
    <t xml:space="preserve">Purchasing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</si>
</sst>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.00"/>
    <numFmt numFmtId="167" formatCode="0.0%"/>
    <numFmt numFmtId="168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0000FF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404040"/>
        <bgColor rgb="FF333300"/>
      </patternFill>
    </fill>
    <fill>
      <patternFill patternType="solid">
        <fgColor rgb="FFE7E6E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40404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1" min="9" style="0" width="13"/>
    <col collapsed="false" customWidth="true" hidden="false" outlineLevel="0" max="12" min="12" style="0" width="11"/>
    <col collapsed="false" customWidth="true" hidden="false" outlineLevel="0" max="16" min="13" style="0" width="13"/>
    <col collapsed="false" customWidth="true" hidden="false" outlineLevel="0" max="18" min="17" style="0" width="15"/>
    <col collapsed="false" customWidth="true" hidden="false" outlineLevel="0" max="19" min="19" style="0" width="3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  <c r="D3" s="3" t="s">
        <v>4</v>
      </c>
      <c r="E3" s="4" t="s">
        <v>5</v>
      </c>
    </row>
    <row r="4" customFormat="false" ht="15" hidden="false" customHeight="false" outlineLevel="0" collapsed="false">
      <c r="A4" s="3" t="s">
        <v>6</v>
      </c>
      <c r="B4" s="4" t="s">
        <v>7</v>
      </c>
      <c r="D4" s="3" t="s">
        <v>8</v>
      </c>
      <c r="E4" s="5" t="n">
        <v>46152</v>
      </c>
    </row>
    <row r="7" customFormat="false" ht="45" hidden="false" customHeight="true" outlineLevel="0" collapsed="false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15</v>
      </c>
      <c r="H7" s="6" t="s">
        <v>16</v>
      </c>
      <c r="I7" s="6" t="s">
        <v>17</v>
      </c>
      <c r="J7" s="6" t="s">
        <v>18</v>
      </c>
      <c r="K7" s="6" t="s">
        <v>19</v>
      </c>
      <c r="L7" s="6" t="s">
        <v>20</v>
      </c>
      <c r="M7" s="6" t="s">
        <v>21</v>
      </c>
      <c r="N7" s="6" t="s">
        <v>22</v>
      </c>
      <c r="O7" s="6" t="s">
        <v>23</v>
      </c>
      <c r="P7" s="6" t="s">
        <v>24</v>
      </c>
      <c r="Q7" s="6" t="s">
        <v>25</v>
      </c>
      <c r="R7" s="6" t="s">
        <v>26</v>
      </c>
      <c r="S7" s="6" t="s">
        <v>27</v>
      </c>
    </row>
    <row r="8" customFormat="false" ht="15" hidden="false" customHeight="false" outlineLevel="0" collapsed="false">
      <c r="A8" s="7" t="s">
        <v>28</v>
      </c>
      <c r="B8" s="7" t="s">
        <v>29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35</v>
      </c>
      <c r="I8" s="8" t="n">
        <v>12.4</v>
      </c>
      <c r="J8" s="8" t="n">
        <v>11.9</v>
      </c>
      <c r="K8" s="9" t="n">
        <f aca="false">IF(OR(I8="",J8=""),"",I8-J8)</f>
        <v>0.5</v>
      </c>
      <c r="L8" s="10" t="n">
        <f aca="false">IF(OR(K8="",I8=0),"",K8/I8)</f>
        <v>0.0403225806451613</v>
      </c>
      <c r="M8" s="11" t="n">
        <v>48000</v>
      </c>
      <c r="N8" s="9" t="n">
        <f aca="false">IF(OR(K8="",M8=""),"",K8*M8/1000)</f>
        <v>24</v>
      </c>
      <c r="O8" s="7" t="s">
        <v>36</v>
      </c>
      <c r="P8" s="12" t="n">
        <v>46127</v>
      </c>
      <c r="Q8" s="12" t="n">
        <v>46295</v>
      </c>
      <c r="R8" s="12"/>
      <c r="S8" s="7" t="s">
        <v>37</v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13"/>
      <c r="J9" s="13"/>
      <c r="K9" s="14" t="str">
        <f aca="false">IF(OR(I9="",J9=""),"",I9-J9)</f>
        <v/>
      </c>
      <c r="L9" s="15" t="str">
        <f aca="false">IF(OR(K9="",I9=0),"",K9/I9)</f>
        <v/>
      </c>
      <c r="M9" s="16"/>
      <c r="N9" s="14" t="str">
        <f aca="false">IF(OR(K9="",M9=""),"",K9*M9/1000)</f>
        <v/>
      </c>
      <c r="O9" s="4"/>
      <c r="P9" s="5"/>
      <c r="Q9" s="5"/>
      <c r="R9" s="5"/>
      <c r="S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13"/>
      <c r="J10" s="13"/>
      <c r="K10" s="14" t="str">
        <f aca="false">IF(OR(I10="",J10=""),"",I10-J10)</f>
        <v/>
      </c>
      <c r="L10" s="15" t="str">
        <f aca="false">IF(OR(K10="",I10=0),"",K10/I10)</f>
        <v/>
      </c>
      <c r="M10" s="16"/>
      <c r="N10" s="14" t="str">
        <f aca="false">IF(OR(K10="",M10=""),"",K10*M10/1000)</f>
        <v/>
      </c>
      <c r="O10" s="4"/>
      <c r="P10" s="5"/>
      <c r="Q10" s="5"/>
      <c r="R10" s="5"/>
      <c r="S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13"/>
      <c r="J11" s="13"/>
      <c r="K11" s="14" t="str">
        <f aca="false">IF(OR(I11="",J11=""),"",I11-J11)</f>
        <v/>
      </c>
      <c r="L11" s="15" t="str">
        <f aca="false">IF(OR(K11="",I11=0),"",K11/I11)</f>
        <v/>
      </c>
      <c r="M11" s="16"/>
      <c r="N11" s="14" t="str">
        <f aca="false">IF(OR(K11="",M11=""),"",K11*M11/1000)</f>
        <v/>
      </c>
      <c r="O11" s="4"/>
      <c r="P11" s="5"/>
      <c r="Q11" s="5"/>
      <c r="R11" s="5"/>
      <c r="S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13"/>
      <c r="J12" s="13"/>
      <c r="K12" s="14" t="str">
        <f aca="false">IF(OR(I12="",J12=""),"",I12-J12)</f>
        <v/>
      </c>
      <c r="L12" s="15" t="str">
        <f aca="false">IF(OR(K12="",I12=0),"",K12/I12)</f>
        <v/>
      </c>
      <c r="M12" s="16"/>
      <c r="N12" s="14" t="str">
        <f aca="false">IF(OR(K12="",M12=""),"",K12*M12/1000)</f>
        <v/>
      </c>
      <c r="O12" s="4"/>
      <c r="P12" s="5"/>
      <c r="Q12" s="5"/>
      <c r="R12" s="5"/>
      <c r="S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13"/>
      <c r="J13" s="13"/>
      <c r="K13" s="14" t="str">
        <f aca="false">IF(OR(I13="",J13=""),"",I13-J13)</f>
        <v/>
      </c>
      <c r="L13" s="15" t="str">
        <f aca="false">IF(OR(K13="",I13=0),"",K13/I13)</f>
        <v/>
      </c>
      <c r="M13" s="16"/>
      <c r="N13" s="14" t="str">
        <f aca="false">IF(OR(K13="",M13=""),"",K13*M13/1000)</f>
        <v/>
      </c>
      <c r="O13" s="4"/>
      <c r="P13" s="5"/>
      <c r="Q13" s="5"/>
      <c r="R13" s="5"/>
      <c r="S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13"/>
      <c r="J14" s="13"/>
      <c r="K14" s="14" t="str">
        <f aca="false">IF(OR(I14="",J14=""),"",I14-J14)</f>
        <v/>
      </c>
      <c r="L14" s="15" t="str">
        <f aca="false">IF(OR(K14="",I14=0),"",K14/I14)</f>
        <v/>
      </c>
      <c r="M14" s="16"/>
      <c r="N14" s="14" t="str">
        <f aca="false">IF(OR(K14="",M14=""),"",K14*M14/1000)</f>
        <v/>
      </c>
      <c r="O14" s="4"/>
      <c r="P14" s="5"/>
      <c r="Q14" s="5"/>
      <c r="R14" s="5"/>
      <c r="S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13"/>
      <c r="J15" s="13"/>
      <c r="K15" s="14" t="str">
        <f aca="false">IF(OR(I15="",J15=""),"",I15-J15)</f>
        <v/>
      </c>
      <c r="L15" s="15" t="str">
        <f aca="false">IF(OR(K15="",I15=0),"",K15/I15)</f>
        <v/>
      </c>
      <c r="M15" s="16"/>
      <c r="N15" s="14" t="str">
        <f aca="false">IF(OR(K15="",M15=""),"",K15*M15/1000)</f>
        <v/>
      </c>
      <c r="O15" s="4"/>
      <c r="P15" s="5"/>
      <c r="Q15" s="5"/>
      <c r="R15" s="5"/>
      <c r="S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13"/>
      <c r="J16" s="13"/>
      <c r="K16" s="14" t="str">
        <f aca="false">IF(OR(I16="",J16=""),"",I16-J16)</f>
        <v/>
      </c>
      <c r="L16" s="15" t="str">
        <f aca="false">IF(OR(K16="",I16=0),"",K16/I16)</f>
        <v/>
      </c>
      <c r="M16" s="16"/>
      <c r="N16" s="14" t="str">
        <f aca="false">IF(OR(K16="",M16=""),"",K16*M16/1000)</f>
        <v/>
      </c>
      <c r="O16" s="4"/>
      <c r="P16" s="5"/>
      <c r="Q16" s="5"/>
      <c r="R16" s="5"/>
      <c r="S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13"/>
      <c r="J17" s="13"/>
      <c r="K17" s="14" t="str">
        <f aca="false">IF(OR(I17="",J17=""),"",I17-J17)</f>
        <v/>
      </c>
      <c r="L17" s="15" t="str">
        <f aca="false">IF(OR(K17="",I17=0),"",K17/I17)</f>
        <v/>
      </c>
      <c r="M17" s="16"/>
      <c r="N17" s="14" t="str">
        <f aca="false">IF(OR(K17="",M17=""),"",K17*M17/1000)</f>
        <v/>
      </c>
      <c r="O17" s="4"/>
      <c r="P17" s="5"/>
      <c r="Q17" s="5"/>
      <c r="R17" s="5"/>
      <c r="S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13"/>
      <c r="J18" s="13"/>
      <c r="K18" s="14" t="str">
        <f aca="false">IF(OR(I18="",J18=""),"",I18-J18)</f>
        <v/>
      </c>
      <c r="L18" s="15" t="str">
        <f aca="false">IF(OR(K18="",I18=0),"",K18/I18)</f>
        <v/>
      </c>
      <c r="M18" s="16"/>
      <c r="N18" s="14" t="str">
        <f aca="false">IF(OR(K18="",M18=""),"",K18*M18/1000)</f>
        <v/>
      </c>
      <c r="O18" s="4"/>
      <c r="P18" s="5"/>
      <c r="Q18" s="5"/>
      <c r="R18" s="5"/>
      <c r="S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13"/>
      <c r="J19" s="13"/>
      <c r="K19" s="14" t="str">
        <f aca="false">IF(OR(I19="",J19=""),"",I19-J19)</f>
        <v/>
      </c>
      <c r="L19" s="15" t="str">
        <f aca="false">IF(OR(K19="",I19=0),"",K19/I19)</f>
        <v/>
      </c>
      <c r="M19" s="16"/>
      <c r="N19" s="14" t="str">
        <f aca="false">IF(OR(K19="",M19=""),"",K19*M19/1000)</f>
        <v/>
      </c>
      <c r="O19" s="4"/>
      <c r="P19" s="5"/>
      <c r="Q19" s="5"/>
      <c r="R19" s="5"/>
      <c r="S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13"/>
      <c r="J20" s="13"/>
      <c r="K20" s="14" t="str">
        <f aca="false">IF(OR(I20="",J20=""),"",I20-J20)</f>
        <v/>
      </c>
      <c r="L20" s="15" t="str">
        <f aca="false">IF(OR(K20="",I20=0),"",K20/I20)</f>
        <v/>
      </c>
      <c r="M20" s="16"/>
      <c r="N20" s="14" t="str">
        <f aca="false">IF(OR(K20="",M20=""),"",K20*M20/1000)</f>
        <v/>
      </c>
      <c r="O20" s="4"/>
      <c r="P20" s="5"/>
      <c r="Q20" s="5"/>
      <c r="R20" s="5"/>
      <c r="S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13"/>
      <c r="J21" s="13"/>
      <c r="K21" s="14" t="str">
        <f aca="false">IF(OR(I21="",J21=""),"",I21-J21)</f>
        <v/>
      </c>
      <c r="L21" s="15" t="str">
        <f aca="false">IF(OR(K21="",I21=0),"",K21/I21)</f>
        <v/>
      </c>
      <c r="M21" s="16"/>
      <c r="N21" s="14" t="str">
        <f aca="false">IF(OR(K21="",M21=""),"",K21*M21/1000)</f>
        <v/>
      </c>
      <c r="O21" s="4"/>
      <c r="P21" s="5"/>
      <c r="Q21" s="5"/>
      <c r="R21" s="5"/>
      <c r="S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13"/>
      <c r="J22" s="13"/>
      <c r="K22" s="14" t="str">
        <f aca="false">IF(OR(I22="",J22=""),"",I22-J22)</f>
        <v/>
      </c>
      <c r="L22" s="15" t="str">
        <f aca="false">IF(OR(K22="",I22=0),"",K22/I22)</f>
        <v/>
      </c>
      <c r="M22" s="16"/>
      <c r="N22" s="14" t="str">
        <f aca="false">IF(OR(K22="",M22=""),"",K22*M22/1000)</f>
        <v/>
      </c>
      <c r="O22" s="4"/>
      <c r="P22" s="5"/>
      <c r="Q22" s="5"/>
      <c r="R22" s="5"/>
      <c r="S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13"/>
      <c r="J23" s="13"/>
      <c r="K23" s="14" t="str">
        <f aca="false">IF(OR(I23="",J23=""),"",I23-J23)</f>
        <v/>
      </c>
      <c r="L23" s="15" t="str">
        <f aca="false">IF(OR(K23="",I23=0),"",K23/I23)</f>
        <v/>
      </c>
      <c r="M23" s="16"/>
      <c r="N23" s="14" t="str">
        <f aca="false">IF(OR(K23="",M23=""),"",K23*M23/1000)</f>
        <v/>
      </c>
      <c r="O23" s="4"/>
      <c r="P23" s="5"/>
      <c r="Q23" s="5"/>
      <c r="R23" s="5"/>
      <c r="S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13"/>
      <c r="J24" s="13"/>
      <c r="K24" s="14" t="str">
        <f aca="false">IF(OR(I24="",J24=""),"",I24-J24)</f>
        <v/>
      </c>
      <c r="L24" s="15" t="str">
        <f aca="false">IF(OR(K24="",I24=0),"",K24/I24)</f>
        <v/>
      </c>
      <c r="M24" s="16"/>
      <c r="N24" s="14" t="str">
        <f aca="false">IF(OR(K24="",M24=""),"",K24*M24/1000)</f>
        <v/>
      </c>
      <c r="O24" s="4"/>
      <c r="P24" s="5"/>
      <c r="Q24" s="5"/>
      <c r="R24" s="5"/>
      <c r="S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13"/>
      <c r="J25" s="13"/>
      <c r="K25" s="14" t="str">
        <f aca="false">IF(OR(I25="",J25=""),"",I25-J25)</f>
        <v/>
      </c>
      <c r="L25" s="15" t="str">
        <f aca="false">IF(OR(K25="",I25=0),"",K25/I25)</f>
        <v/>
      </c>
      <c r="M25" s="16"/>
      <c r="N25" s="14" t="str">
        <f aca="false">IF(OR(K25="",M25=""),"",K25*M25/1000)</f>
        <v/>
      </c>
      <c r="O25" s="4"/>
      <c r="P25" s="5"/>
      <c r="Q25" s="5"/>
      <c r="R25" s="5"/>
      <c r="S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13"/>
      <c r="J26" s="13"/>
      <c r="K26" s="14" t="str">
        <f aca="false">IF(OR(I26="",J26=""),"",I26-J26)</f>
        <v/>
      </c>
      <c r="L26" s="15" t="str">
        <f aca="false">IF(OR(K26="",I26=0),"",K26/I26)</f>
        <v/>
      </c>
      <c r="M26" s="16"/>
      <c r="N26" s="14" t="str">
        <f aca="false">IF(OR(K26="",M26=""),"",K26*M26/1000)</f>
        <v/>
      </c>
      <c r="O26" s="4"/>
      <c r="P26" s="5"/>
      <c r="Q26" s="5"/>
      <c r="R26" s="5"/>
      <c r="S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13"/>
      <c r="J27" s="13"/>
      <c r="K27" s="14" t="str">
        <f aca="false">IF(OR(I27="",J27=""),"",I27-J27)</f>
        <v/>
      </c>
      <c r="L27" s="15" t="str">
        <f aca="false">IF(OR(K27="",I27=0),"",K27/I27)</f>
        <v/>
      </c>
      <c r="M27" s="16"/>
      <c r="N27" s="14" t="str">
        <f aca="false">IF(OR(K27="",M27=""),"",K27*M27/1000)</f>
        <v/>
      </c>
      <c r="O27" s="4"/>
      <c r="P27" s="5"/>
      <c r="Q27" s="5"/>
      <c r="R27" s="5"/>
      <c r="S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13"/>
      <c r="J28" s="13"/>
      <c r="K28" s="14" t="str">
        <f aca="false">IF(OR(I28="",J28=""),"",I28-J28)</f>
        <v/>
      </c>
      <c r="L28" s="15" t="str">
        <f aca="false">IF(OR(K28="",I28=0),"",K28/I28)</f>
        <v/>
      </c>
      <c r="M28" s="16"/>
      <c r="N28" s="14" t="str">
        <f aca="false">IF(OR(K28="",M28=""),"",K28*M28/1000)</f>
        <v/>
      </c>
      <c r="O28" s="4"/>
      <c r="P28" s="5"/>
      <c r="Q28" s="5"/>
      <c r="R28" s="5"/>
      <c r="S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13"/>
      <c r="J29" s="13"/>
      <c r="K29" s="14" t="str">
        <f aca="false">IF(OR(I29="",J29=""),"",I29-J29)</f>
        <v/>
      </c>
      <c r="L29" s="15" t="str">
        <f aca="false">IF(OR(K29="",I29=0),"",K29/I29)</f>
        <v/>
      </c>
      <c r="M29" s="16"/>
      <c r="N29" s="14" t="str">
        <f aca="false">IF(OR(K29="",M29=""),"",K29*M29/1000)</f>
        <v/>
      </c>
      <c r="O29" s="4"/>
      <c r="P29" s="5"/>
      <c r="Q29" s="5"/>
      <c r="R29" s="5"/>
      <c r="S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13"/>
      <c r="J30" s="13"/>
      <c r="K30" s="14" t="str">
        <f aca="false">IF(OR(I30="",J30=""),"",I30-J30)</f>
        <v/>
      </c>
      <c r="L30" s="15" t="str">
        <f aca="false">IF(OR(K30="",I30=0),"",K30/I30)</f>
        <v/>
      </c>
      <c r="M30" s="16"/>
      <c r="N30" s="14" t="str">
        <f aca="false">IF(OR(K30="",M30=""),"",K30*M30/1000)</f>
        <v/>
      </c>
      <c r="O30" s="4"/>
      <c r="P30" s="5"/>
      <c r="Q30" s="5"/>
      <c r="R30" s="5"/>
      <c r="S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13"/>
      <c r="J31" s="13"/>
      <c r="K31" s="14" t="str">
        <f aca="false">IF(OR(I31="",J31=""),"",I31-J31)</f>
        <v/>
      </c>
      <c r="L31" s="15" t="str">
        <f aca="false">IF(OR(K31="",I31=0),"",K31/I31)</f>
        <v/>
      </c>
      <c r="M31" s="16"/>
      <c r="N31" s="14" t="str">
        <f aca="false">IF(OR(K31="",M31=""),"",K31*M31/1000)</f>
        <v/>
      </c>
      <c r="O31" s="4"/>
      <c r="P31" s="5"/>
      <c r="Q31" s="5"/>
      <c r="R31" s="5"/>
      <c r="S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13"/>
      <c r="J32" s="13"/>
      <c r="K32" s="14" t="str">
        <f aca="false">IF(OR(I32="",J32=""),"",I32-J32)</f>
        <v/>
      </c>
      <c r="L32" s="15" t="str">
        <f aca="false">IF(OR(K32="",I32=0),"",K32/I32)</f>
        <v/>
      </c>
      <c r="M32" s="16"/>
      <c r="N32" s="14" t="str">
        <f aca="false">IF(OR(K32="",M32=""),"",K32*M32/1000)</f>
        <v/>
      </c>
      <c r="O32" s="4"/>
      <c r="P32" s="5"/>
      <c r="Q32" s="5"/>
      <c r="R32" s="5"/>
      <c r="S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13"/>
      <c r="J33" s="13"/>
      <c r="K33" s="14" t="str">
        <f aca="false">IF(OR(I33="",J33=""),"",I33-J33)</f>
        <v/>
      </c>
      <c r="L33" s="15" t="str">
        <f aca="false">IF(OR(K33="",I33=0),"",K33/I33)</f>
        <v/>
      </c>
      <c r="M33" s="16"/>
      <c r="N33" s="14" t="str">
        <f aca="false">IF(OR(K33="",M33=""),"",K33*M33/1000)</f>
        <v/>
      </c>
      <c r="O33" s="4"/>
      <c r="P33" s="5"/>
      <c r="Q33" s="5"/>
      <c r="R33" s="5"/>
      <c r="S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13"/>
      <c r="J34" s="13"/>
      <c r="K34" s="14" t="str">
        <f aca="false">IF(OR(I34="",J34=""),"",I34-J34)</f>
        <v/>
      </c>
      <c r="L34" s="15" t="str">
        <f aca="false">IF(OR(K34="",I34=0),"",K34/I34)</f>
        <v/>
      </c>
      <c r="M34" s="16"/>
      <c r="N34" s="14" t="str">
        <f aca="false">IF(OR(K34="",M34=""),"",K34*M34/1000)</f>
        <v/>
      </c>
      <c r="O34" s="4"/>
      <c r="P34" s="5"/>
      <c r="Q34" s="5"/>
      <c r="R34" s="5"/>
      <c r="S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13"/>
      <c r="J35" s="13"/>
      <c r="K35" s="14" t="str">
        <f aca="false">IF(OR(I35="",J35=""),"",I35-J35)</f>
        <v/>
      </c>
      <c r="L35" s="15" t="str">
        <f aca="false">IF(OR(K35="",I35=0),"",K35/I35)</f>
        <v/>
      </c>
      <c r="M35" s="16"/>
      <c r="N35" s="14" t="str">
        <f aca="false">IF(OR(K35="",M35=""),"",K35*M35/1000)</f>
        <v/>
      </c>
      <c r="O35" s="4"/>
      <c r="P35" s="5"/>
      <c r="Q35" s="5"/>
      <c r="R35" s="5"/>
      <c r="S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13"/>
      <c r="J36" s="13"/>
      <c r="K36" s="14" t="str">
        <f aca="false">IF(OR(I36="",J36=""),"",I36-J36)</f>
        <v/>
      </c>
      <c r="L36" s="15" t="str">
        <f aca="false">IF(OR(K36="",I36=0),"",K36/I36)</f>
        <v/>
      </c>
      <c r="M36" s="16"/>
      <c r="N36" s="14" t="str">
        <f aca="false">IF(OR(K36="",M36=""),"",K36*M36/1000)</f>
        <v/>
      </c>
      <c r="O36" s="4"/>
      <c r="P36" s="5"/>
      <c r="Q36" s="5"/>
      <c r="R36" s="5"/>
      <c r="S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13"/>
      <c r="J37" s="13"/>
      <c r="K37" s="14" t="str">
        <f aca="false">IF(OR(I37="",J37=""),"",I37-J37)</f>
        <v/>
      </c>
      <c r="L37" s="15" t="str">
        <f aca="false">IF(OR(K37="",I37=0),"",K37/I37)</f>
        <v/>
      </c>
      <c r="M37" s="16"/>
      <c r="N37" s="14" t="str">
        <f aca="false">IF(OR(K37="",M37=""),"",K37*M37/1000)</f>
        <v/>
      </c>
      <c r="O37" s="4"/>
      <c r="P37" s="5"/>
      <c r="Q37" s="5"/>
      <c r="R37" s="5"/>
      <c r="S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13"/>
      <c r="J38" s="13"/>
      <c r="K38" s="14" t="str">
        <f aca="false">IF(OR(I38="",J38=""),"",I38-J38)</f>
        <v/>
      </c>
      <c r="L38" s="15" t="str">
        <f aca="false">IF(OR(K38="",I38=0),"",K38/I38)</f>
        <v/>
      </c>
      <c r="M38" s="16"/>
      <c r="N38" s="14" t="str">
        <f aca="false">IF(OR(K38="",M38=""),"",K38*M38/1000)</f>
        <v/>
      </c>
      <c r="O38" s="4"/>
      <c r="P38" s="5"/>
      <c r="Q38" s="5"/>
      <c r="R38" s="5"/>
      <c r="S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13"/>
      <c r="J39" s="13"/>
      <c r="K39" s="14" t="str">
        <f aca="false">IF(OR(I39="",J39=""),"",I39-J39)</f>
        <v/>
      </c>
      <c r="L39" s="15" t="str">
        <f aca="false">IF(OR(K39="",I39=0),"",K39/I39)</f>
        <v/>
      </c>
      <c r="M39" s="16"/>
      <c r="N39" s="14" t="str">
        <f aca="false">IF(OR(K39="",M39=""),"",K39*M39/1000)</f>
        <v/>
      </c>
      <c r="O39" s="4"/>
      <c r="P39" s="5"/>
      <c r="Q39" s="5"/>
      <c r="R39" s="5"/>
      <c r="S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13"/>
      <c r="J40" s="13"/>
      <c r="K40" s="14" t="str">
        <f aca="false">IF(OR(I40="",J40=""),"",I40-J40)</f>
        <v/>
      </c>
      <c r="L40" s="15" t="str">
        <f aca="false">IF(OR(K40="",I40=0),"",K40/I40)</f>
        <v/>
      </c>
      <c r="M40" s="16"/>
      <c r="N40" s="14" t="str">
        <f aca="false">IF(OR(K40="",M40=""),"",K40*M40/1000)</f>
        <v/>
      </c>
      <c r="O40" s="4"/>
      <c r="P40" s="5"/>
      <c r="Q40" s="5"/>
      <c r="R40" s="5"/>
      <c r="S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13"/>
      <c r="J41" s="13"/>
      <c r="K41" s="14" t="str">
        <f aca="false">IF(OR(I41="",J41=""),"",I41-J41)</f>
        <v/>
      </c>
      <c r="L41" s="15" t="str">
        <f aca="false">IF(OR(K41="",I41=0),"",K41/I41)</f>
        <v/>
      </c>
      <c r="M41" s="16"/>
      <c r="N41" s="14" t="str">
        <f aca="false">IF(OR(K41="",M41=""),"",K41*M41/1000)</f>
        <v/>
      </c>
      <c r="O41" s="4"/>
      <c r="P41" s="5"/>
      <c r="Q41" s="5"/>
      <c r="R41" s="5"/>
      <c r="S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13"/>
      <c r="J42" s="13"/>
      <c r="K42" s="14" t="str">
        <f aca="false">IF(OR(I42="",J42=""),"",I42-J42)</f>
        <v/>
      </c>
      <c r="L42" s="15" t="str">
        <f aca="false">IF(OR(K42="",I42=0),"",K42/I42)</f>
        <v/>
      </c>
      <c r="M42" s="16"/>
      <c r="N42" s="14" t="str">
        <f aca="false">IF(OR(K42="",M42=""),"",K42*M42/1000)</f>
        <v/>
      </c>
      <c r="O42" s="4"/>
      <c r="P42" s="5"/>
      <c r="Q42" s="5"/>
      <c r="R42" s="5"/>
      <c r="S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13"/>
      <c r="J43" s="13"/>
      <c r="K43" s="14" t="str">
        <f aca="false">IF(OR(I43="",J43=""),"",I43-J43)</f>
        <v/>
      </c>
      <c r="L43" s="15" t="str">
        <f aca="false">IF(OR(K43="",I43=0),"",K43/I43)</f>
        <v/>
      </c>
      <c r="M43" s="16"/>
      <c r="N43" s="14" t="str">
        <f aca="false">IF(OR(K43="",M43=""),"",K43*M43/1000)</f>
        <v/>
      </c>
      <c r="O43" s="4"/>
      <c r="P43" s="5"/>
      <c r="Q43" s="5"/>
      <c r="R43" s="5"/>
      <c r="S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13"/>
      <c r="J44" s="13"/>
      <c r="K44" s="14" t="str">
        <f aca="false">IF(OR(I44="",J44=""),"",I44-J44)</f>
        <v/>
      </c>
      <c r="L44" s="15" t="str">
        <f aca="false">IF(OR(K44="",I44=0),"",K44/I44)</f>
        <v/>
      </c>
      <c r="M44" s="16"/>
      <c r="N44" s="14" t="str">
        <f aca="false">IF(OR(K44="",M44=""),"",K44*M44/1000)</f>
        <v/>
      </c>
      <c r="O44" s="4"/>
      <c r="P44" s="5"/>
      <c r="Q44" s="5"/>
      <c r="R44" s="5"/>
      <c r="S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13"/>
      <c r="J45" s="13"/>
      <c r="K45" s="14" t="str">
        <f aca="false">IF(OR(I45="",J45=""),"",I45-J45)</f>
        <v/>
      </c>
      <c r="L45" s="15" t="str">
        <f aca="false">IF(OR(K45="",I45=0),"",K45/I45)</f>
        <v/>
      </c>
      <c r="M45" s="16"/>
      <c r="N45" s="14" t="str">
        <f aca="false">IF(OR(K45="",M45=""),"",K45*M45/1000)</f>
        <v/>
      </c>
      <c r="O45" s="4"/>
      <c r="P45" s="5"/>
      <c r="Q45" s="5"/>
      <c r="R45" s="5"/>
      <c r="S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13"/>
      <c r="J46" s="13"/>
      <c r="K46" s="14" t="str">
        <f aca="false">IF(OR(I46="",J46=""),"",I46-J46)</f>
        <v/>
      </c>
      <c r="L46" s="15" t="str">
        <f aca="false">IF(OR(K46="",I46=0),"",K46/I46)</f>
        <v/>
      </c>
      <c r="M46" s="16"/>
      <c r="N46" s="14" t="str">
        <f aca="false">IF(OR(K46="",M46=""),"",K46*M46/1000)</f>
        <v/>
      </c>
      <c r="O46" s="4"/>
      <c r="P46" s="5"/>
      <c r="Q46" s="5"/>
      <c r="R46" s="5"/>
      <c r="S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13"/>
      <c r="J47" s="13"/>
      <c r="K47" s="14" t="str">
        <f aca="false">IF(OR(I47="",J47=""),"",I47-J47)</f>
        <v/>
      </c>
      <c r="L47" s="15" t="str">
        <f aca="false">IF(OR(K47="",I47=0),"",K47/I47)</f>
        <v/>
      </c>
      <c r="M47" s="16"/>
      <c r="N47" s="14" t="str">
        <f aca="false">IF(OR(K47="",M47=""),"",K47*M47/1000)</f>
        <v/>
      </c>
      <c r="O47" s="4"/>
      <c r="P47" s="5"/>
      <c r="Q47" s="5"/>
      <c r="R47" s="5"/>
      <c r="S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13"/>
      <c r="J48" s="13"/>
      <c r="K48" s="14" t="str">
        <f aca="false">IF(OR(I48="",J48=""),"",I48-J48)</f>
        <v/>
      </c>
      <c r="L48" s="15" t="str">
        <f aca="false">IF(OR(K48="",I48=0),"",K48/I48)</f>
        <v/>
      </c>
      <c r="M48" s="16"/>
      <c r="N48" s="14" t="str">
        <f aca="false">IF(OR(K48="",M48=""),"",K48*M48/1000)</f>
        <v/>
      </c>
      <c r="O48" s="4"/>
      <c r="P48" s="5"/>
      <c r="Q48" s="5"/>
      <c r="R48" s="5"/>
      <c r="S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13"/>
      <c r="J49" s="13"/>
      <c r="K49" s="14" t="str">
        <f aca="false">IF(OR(I49="",J49=""),"",I49-J49)</f>
        <v/>
      </c>
      <c r="L49" s="15" t="str">
        <f aca="false">IF(OR(K49="",I49=0),"",K49/I49)</f>
        <v/>
      </c>
      <c r="M49" s="16"/>
      <c r="N49" s="14" t="str">
        <f aca="false">IF(OR(K49="",M49=""),"",K49*M49/1000)</f>
        <v/>
      </c>
      <c r="O49" s="4"/>
      <c r="P49" s="5"/>
      <c r="Q49" s="5"/>
      <c r="R49" s="5"/>
      <c r="S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13"/>
      <c r="J50" s="13"/>
      <c r="K50" s="14" t="str">
        <f aca="false">IF(OR(I50="",J50=""),"",I50-J50)</f>
        <v/>
      </c>
      <c r="L50" s="15" t="str">
        <f aca="false">IF(OR(K50="",I50=0),"",K50/I50)</f>
        <v/>
      </c>
      <c r="M50" s="16"/>
      <c r="N50" s="14" t="str">
        <f aca="false">IF(OR(K50="",M50=""),"",K50*M50/1000)</f>
        <v/>
      </c>
      <c r="O50" s="4"/>
      <c r="P50" s="5"/>
      <c r="Q50" s="5"/>
      <c r="R50" s="5"/>
      <c r="S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13"/>
      <c r="J51" s="13"/>
      <c r="K51" s="14" t="str">
        <f aca="false">IF(OR(I51="",J51=""),"",I51-J51)</f>
        <v/>
      </c>
      <c r="L51" s="15" t="str">
        <f aca="false">IF(OR(K51="",I51=0),"",K51/I51)</f>
        <v/>
      </c>
      <c r="M51" s="16"/>
      <c r="N51" s="14" t="str">
        <f aca="false">IF(OR(K51="",M51=""),"",K51*M51/1000)</f>
        <v/>
      </c>
      <c r="O51" s="4"/>
      <c r="P51" s="5"/>
      <c r="Q51" s="5"/>
      <c r="R51" s="5"/>
      <c r="S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13"/>
      <c r="J52" s="13"/>
      <c r="K52" s="14" t="str">
        <f aca="false">IF(OR(I52="",J52=""),"",I52-J52)</f>
        <v/>
      </c>
      <c r="L52" s="15" t="str">
        <f aca="false">IF(OR(K52="",I52=0),"",K52/I52)</f>
        <v/>
      </c>
      <c r="M52" s="16"/>
      <c r="N52" s="14" t="str">
        <f aca="false">IF(OR(K52="",M52=""),"",K52*M52/1000)</f>
        <v/>
      </c>
      <c r="O52" s="4"/>
      <c r="P52" s="5"/>
      <c r="Q52" s="5"/>
      <c r="R52" s="5"/>
      <c r="S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13"/>
      <c r="J53" s="13"/>
      <c r="K53" s="14" t="str">
        <f aca="false">IF(OR(I53="",J53=""),"",I53-J53)</f>
        <v/>
      </c>
      <c r="L53" s="15" t="str">
        <f aca="false">IF(OR(K53="",I53=0),"",K53/I53)</f>
        <v/>
      </c>
      <c r="M53" s="16"/>
      <c r="N53" s="14" t="str">
        <f aca="false">IF(OR(K53="",M53=""),"",K53*M53/1000)</f>
        <v/>
      </c>
      <c r="O53" s="4"/>
      <c r="P53" s="5"/>
      <c r="Q53" s="5"/>
      <c r="R53" s="5"/>
      <c r="S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13"/>
      <c r="J54" s="13"/>
      <c r="K54" s="14" t="str">
        <f aca="false">IF(OR(I54="",J54=""),"",I54-J54)</f>
        <v/>
      </c>
      <c r="L54" s="15" t="str">
        <f aca="false">IF(OR(K54="",I54=0),"",K54/I54)</f>
        <v/>
      </c>
      <c r="M54" s="16"/>
      <c r="N54" s="14" t="str">
        <f aca="false">IF(OR(K54="",M54=""),"",K54*M54/1000)</f>
        <v/>
      </c>
      <c r="O54" s="4"/>
      <c r="P54" s="5"/>
      <c r="Q54" s="5"/>
      <c r="R54" s="5"/>
      <c r="S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13"/>
      <c r="J55" s="13"/>
      <c r="K55" s="14" t="str">
        <f aca="false">IF(OR(I55="",J55=""),"",I55-J55)</f>
        <v/>
      </c>
      <c r="L55" s="15" t="str">
        <f aca="false">IF(OR(K55="",I55=0),"",K55/I55)</f>
        <v/>
      </c>
      <c r="M55" s="16"/>
      <c r="N55" s="14" t="str">
        <f aca="false">IF(OR(K55="",M55=""),"",K55*M55/1000)</f>
        <v/>
      </c>
      <c r="O55" s="4"/>
      <c r="P55" s="5"/>
      <c r="Q55" s="5"/>
      <c r="R55" s="5"/>
      <c r="S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13"/>
      <c r="J56" s="13"/>
      <c r="K56" s="14" t="str">
        <f aca="false">IF(OR(I56="",J56=""),"",I56-J56)</f>
        <v/>
      </c>
      <c r="L56" s="15" t="str">
        <f aca="false">IF(OR(K56="",I56=0),"",K56/I56)</f>
        <v/>
      </c>
      <c r="M56" s="16"/>
      <c r="N56" s="14" t="str">
        <f aca="false">IF(OR(K56="",M56=""),"",K56*M56/1000)</f>
        <v/>
      </c>
      <c r="O56" s="4"/>
      <c r="P56" s="5"/>
      <c r="Q56" s="5"/>
      <c r="R56" s="5"/>
      <c r="S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13"/>
      <c r="J57" s="13"/>
      <c r="K57" s="14" t="str">
        <f aca="false">IF(OR(I57="",J57=""),"",I57-J57)</f>
        <v/>
      </c>
      <c r="L57" s="15" t="str">
        <f aca="false">IF(OR(K57="",I57=0),"",K57/I57)</f>
        <v/>
      </c>
      <c r="M57" s="16"/>
      <c r="N57" s="14" t="str">
        <f aca="false">IF(OR(K57="",M57=""),"",K57*M57/1000)</f>
        <v/>
      </c>
      <c r="O57" s="4"/>
      <c r="P57" s="5"/>
      <c r="Q57" s="5"/>
      <c r="R57" s="5"/>
      <c r="S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13"/>
      <c r="J58" s="13"/>
      <c r="K58" s="14" t="str">
        <f aca="false">IF(OR(I58="",J58=""),"",I58-J58)</f>
        <v/>
      </c>
      <c r="L58" s="15" t="str">
        <f aca="false">IF(OR(K58="",I58=0),"",K58/I58)</f>
        <v/>
      </c>
      <c r="M58" s="16"/>
      <c r="N58" s="14" t="str">
        <f aca="false">IF(OR(K58="",M58=""),"",K58*M58/1000)</f>
        <v/>
      </c>
      <c r="O58" s="4"/>
      <c r="P58" s="5"/>
      <c r="Q58" s="5"/>
      <c r="R58" s="5"/>
      <c r="S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13"/>
      <c r="J59" s="13"/>
      <c r="K59" s="14" t="str">
        <f aca="false">IF(OR(I59="",J59=""),"",I59-J59)</f>
        <v/>
      </c>
      <c r="L59" s="15" t="str">
        <f aca="false">IF(OR(K59="",I59=0),"",K59/I59)</f>
        <v/>
      </c>
      <c r="M59" s="16"/>
      <c r="N59" s="14" t="str">
        <f aca="false">IF(OR(K59="",M59=""),"",K59*M59/1000)</f>
        <v/>
      </c>
      <c r="O59" s="4"/>
      <c r="P59" s="5"/>
      <c r="Q59" s="5"/>
      <c r="R59" s="5"/>
      <c r="S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13"/>
      <c r="J60" s="13"/>
      <c r="K60" s="14" t="str">
        <f aca="false">IF(OR(I60="",J60=""),"",I60-J60)</f>
        <v/>
      </c>
      <c r="L60" s="15" t="str">
        <f aca="false">IF(OR(K60="",I60=0),"",K60/I60)</f>
        <v/>
      </c>
      <c r="M60" s="16"/>
      <c r="N60" s="14" t="str">
        <f aca="false">IF(OR(K60="",M60=""),"",K60*M60/1000)</f>
        <v/>
      </c>
      <c r="O60" s="4"/>
      <c r="P60" s="5"/>
      <c r="Q60" s="5"/>
      <c r="R60" s="5"/>
      <c r="S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13"/>
      <c r="J61" s="13"/>
      <c r="K61" s="14" t="str">
        <f aca="false">IF(OR(I61="",J61=""),"",I61-J61)</f>
        <v/>
      </c>
      <c r="L61" s="15" t="str">
        <f aca="false">IF(OR(K61="",I61=0),"",K61/I61)</f>
        <v/>
      </c>
      <c r="M61" s="16"/>
      <c r="N61" s="14" t="str">
        <f aca="false">IF(OR(K61="",M61=""),"",K61*M61/1000)</f>
        <v/>
      </c>
      <c r="O61" s="4"/>
      <c r="P61" s="5"/>
      <c r="Q61" s="5"/>
      <c r="R61" s="5"/>
      <c r="S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13"/>
      <c r="J62" s="13"/>
      <c r="K62" s="14" t="str">
        <f aca="false">IF(OR(I62="",J62=""),"",I62-J62)</f>
        <v/>
      </c>
      <c r="L62" s="15" t="str">
        <f aca="false">IF(OR(K62="",I62=0),"",K62/I62)</f>
        <v/>
      </c>
      <c r="M62" s="16"/>
      <c r="N62" s="14" t="str">
        <f aca="false">IF(OR(K62="",M62=""),"",K62*M62/1000)</f>
        <v/>
      </c>
      <c r="O62" s="4"/>
      <c r="P62" s="5"/>
      <c r="Q62" s="5"/>
      <c r="R62" s="5"/>
      <c r="S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13"/>
      <c r="J63" s="13"/>
      <c r="K63" s="14" t="str">
        <f aca="false">IF(OR(I63="",J63=""),"",I63-J63)</f>
        <v/>
      </c>
      <c r="L63" s="15" t="str">
        <f aca="false">IF(OR(K63="",I63=0),"",K63/I63)</f>
        <v/>
      </c>
      <c r="M63" s="16"/>
      <c r="N63" s="14" t="str">
        <f aca="false">IF(OR(K63="",M63=""),"",K63*M63/1000)</f>
        <v/>
      </c>
      <c r="O63" s="4"/>
      <c r="P63" s="5"/>
      <c r="Q63" s="5"/>
      <c r="R63" s="5"/>
      <c r="S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13"/>
      <c r="J64" s="13"/>
      <c r="K64" s="14" t="str">
        <f aca="false">IF(OR(I64="",J64=""),"",I64-J64)</f>
        <v/>
      </c>
      <c r="L64" s="15" t="str">
        <f aca="false">IF(OR(K64="",I64=0),"",K64/I64)</f>
        <v/>
      </c>
      <c r="M64" s="16"/>
      <c r="N64" s="14" t="str">
        <f aca="false">IF(OR(K64="",M64=""),"",K64*M64/1000)</f>
        <v/>
      </c>
      <c r="O64" s="4"/>
      <c r="P64" s="5"/>
      <c r="Q64" s="5"/>
      <c r="R64" s="5"/>
      <c r="S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13"/>
      <c r="J65" s="13"/>
      <c r="K65" s="14" t="str">
        <f aca="false">IF(OR(I65="",J65=""),"",I65-J65)</f>
        <v/>
      </c>
      <c r="L65" s="15" t="str">
        <f aca="false">IF(OR(K65="",I65=0),"",K65/I65)</f>
        <v/>
      </c>
      <c r="M65" s="16"/>
      <c r="N65" s="14" t="str">
        <f aca="false">IF(OR(K65="",M65=""),"",K65*M65/1000)</f>
        <v/>
      </c>
      <c r="O65" s="4"/>
      <c r="P65" s="5"/>
      <c r="Q65" s="5"/>
      <c r="R65" s="5"/>
      <c r="S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13"/>
      <c r="J66" s="13"/>
      <c r="K66" s="14" t="str">
        <f aca="false">IF(OR(I66="",J66=""),"",I66-J66)</f>
        <v/>
      </c>
      <c r="L66" s="15" t="str">
        <f aca="false">IF(OR(K66="",I66=0),"",K66/I66)</f>
        <v/>
      </c>
      <c r="M66" s="16"/>
      <c r="N66" s="14" t="str">
        <f aca="false">IF(OR(K66="",M66=""),"",K66*M66/1000)</f>
        <v/>
      </c>
      <c r="O66" s="4"/>
      <c r="P66" s="5"/>
      <c r="Q66" s="5"/>
      <c r="R66" s="5"/>
      <c r="S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13"/>
      <c r="J67" s="13"/>
      <c r="K67" s="14" t="str">
        <f aca="false">IF(OR(I67="",J67=""),"",I67-J67)</f>
        <v/>
      </c>
      <c r="L67" s="15" t="str">
        <f aca="false">IF(OR(K67="",I67=0),"",K67/I67)</f>
        <v/>
      </c>
      <c r="M67" s="16"/>
      <c r="N67" s="14" t="str">
        <f aca="false">IF(OR(K67="",M67=""),"",K67*M67/1000)</f>
        <v/>
      </c>
      <c r="O67" s="4"/>
      <c r="P67" s="5"/>
      <c r="Q67" s="5"/>
      <c r="R67" s="5"/>
      <c r="S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13"/>
      <c r="J68" s="13"/>
      <c r="K68" s="14" t="str">
        <f aca="false">IF(OR(I68="",J68=""),"",I68-J68)</f>
        <v/>
      </c>
      <c r="L68" s="15" t="str">
        <f aca="false">IF(OR(K68="",I68=0),"",K68/I68)</f>
        <v/>
      </c>
      <c r="M68" s="16"/>
      <c r="N68" s="14" t="str">
        <f aca="false">IF(OR(K68="",M68=""),"",K68*M68/1000)</f>
        <v/>
      </c>
      <c r="O68" s="4"/>
      <c r="P68" s="5"/>
      <c r="Q68" s="5"/>
      <c r="R68" s="5"/>
      <c r="S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13"/>
      <c r="J69" s="13"/>
      <c r="K69" s="14" t="str">
        <f aca="false">IF(OR(I69="",J69=""),"",I69-J69)</f>
        <v/>
      </c>
      <c r="L69" s="15" t="str">
        <f aca="false">IF(OR(K69="",I69=0),"",K69/I69)</f>
        <v/>
      </c>
      <c r="M69" s="16"/>
      <c r="N69" s="14" t="str">
        <f aca="false">IF(OR(K69="",M69=""),"",K69*M69/1000)</f>
        <v/>
      </c>
      <c r="O69" s="4"/>
      <c r="P69" s="5"/>
      <c r="Q69" s="5"/>
      <c r="R69" s="5"/>
      <c r="S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13"/>
      <c r="J70" s="13"/>
      <c r="K70" s="14" t="str">
        <f aca="false">IF(OR(I70="",J70=""),"",I70-J70)</f>
        <v/>
      </c>
      <c r="L70" s="15" t="str">
        <f aca="false">IF(OR(K70="",I70=0),"",K70/I70)</f>
        <v/>
      </c>
      <c r="M70" s="16"/>
      <c r="N70" s="14" t="str">
        <f aca="false">IF(OR(K70="",M70=""),"",K70*M70/1000)</f>
        <v/>
      </c>
      <c r="O70" s="4"/>
      <c r="P70" s="5"/>
      <c r="Q70" s="5"/>
      <c r="R70" s="5"/>
      <c r="S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13"/>
      <c r="J71" s="13"/>
      <c r="K71" s="14" t="str">
        <f aca="false">IF(OR(I71="",J71=""),"",I71-J71)</f>
        <v/>
      </c>
      <c r="L71" s="15" t="str">
        <f aca="false">IF(OR(K71="",I71=0),"",K71/I71)</f>
        <v/>
      </c>
      <c r="M71" s="16"/>
      <c r="N71" s="14" t="str">
        <f aca="false">IF(OR(K71="",M71=""),"",K71*M71/1000)</f>
        <v/>
      </c>
      <c r="O71" s="4"/>
      <c r="P71" s="5"/>
      <c r="Q71" s="5"/>
      <c r="R71" s="5"/>
      <c r="S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13"/>
      <c r="J72" s="13"/>
      <c r="K72" s="14" t="str">
        <f aca="false">IF(OR(I72="",J72=""),"",I72-J72)</f>
        <v/>
      </c>
      <c r="L72" s="15" t="str">
        <f aca="false">IF(OR(K72="",I72=0),"",K72/I72)</f>
        <v/>
      </c>
      <c r="M72" s="16"/>
      <c r="N72" s="14" t="str">
        <f aca="false">IF(OR(K72="",M72=""),"",K72*M72/1000)</f>
        <v/>
      </c>
      <c r="O72" s="4"/>
      <c r="P72" s="5"/>
      <c r="Q72" s="5"/>
      <c r="R72" s="5"/>
      <c r="S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13"/>
      <c r="J73" s="13"/>
      <c r="K73" s="14" t="str">
        <f aca="false">IF(OR(I73="",J73=""),"",I73-J73)</f>
        <v/>
      </c>
      <c r="L73" s="15" t="str">
        <f aca="false">IF(OR(K73="",I73=0),"",K73/I73)</f>
        <v/>
      </c>
      <c r="M73" s="16"/>
      <c r="N73" s="14" t="str">
        <f aca="false">IF(OR(K73="",M73=""),"",K73*M73/1000)</f>
        <v/>
      </c>
      <c r="O73" s="4"/>
      <c r="P73" s="5"/>
      <c r="Q73" s="5"/>
      <c r="R73" s="5"/>
      <c r="S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13"/>
      <c r="J74" s="13"/>
      <c r="K74" s="14" t="str">
        <f aca="false">IF(OR(I74="",J74=""),"",I74-J74)</f>
        <v/>
      </c>
      <c r="L74" s="15" t="str">
        <f aca="false">IF(OR(K74="",I74=0),"",K74/I74)</f>
        <v/>
      </c>
      <c r="M74" s="16"/>
      <c r="N74" s="14" t="str">
        <f aca="false">IF(OR(K74="",M74=""),"",K74*M74/1000)</f>
        <v/>
      </c>
      <c r="O74" s="4"/>
      <c r="P74" s="5"/>
      <c r="Q74" s="5"/>
      <c r="R74" s="5"/>
      <c r="S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13"/>
      <c r="J75" s="13"/>
      <c r="K75" s="14" t="str">
        <f aca="false">IF(OR(I75="",J75=""),"",I75-J75)</f>
        <v/>
      </c>
      <c r="L75" s="15" t="str">
        <f aca="false">IF(OR(K75="",I75=0),"",K75/I75)</f>
        <v/>
      </c>
      <c r="M75" s="16"/>
      <c r="N75" s="14" t="str">
        <f aca="false">IF(OR(K75="",M75=""),"",K75*M75/1000)</f>
        <v/>
      </c>
      <c r="O75" s="4"/>
      <c r="P75" s="5"/>
      <c r="Q75" s="5"/>
      <c r="R75" s="5"/>
      <c r="S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13"/>
      <c r="J76" s="13"/>
      <c r="K76" s="14" t="str">
        <f aca="false">IF(OR(I76="",J76=""),"",I76-J76)</f>
        <v/>
      </c>
      <c r="L76" s="15" t="str">
        <f aca="false">IF(OR(K76="",I76=0),"",K76/I76)</f>
        <v/>
      </c>
      <c r="M76" s="16"/>
      <c r="N76" s="14" t="str">
        <f aca="false">IF(OR(K76="",M76=""),"",K76*M76/1000)</f>
        <v/>
      </c>
      <c r="O76" s="4"/>
      <c r="P76" s="5"/>
      <c r="Q76" s="5"/>
      <c r="R76" s="5"/>
      <c r="S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13"/>
      <c r="J77" s="13"/>
      <c r="K77" s="14" t="str">
        <f aca="false">IF(OR(I77="",J77=""),"",I77-J77)</f>
        <v/>
      </c>
      <c r="L77" s="15" t="str">
        <f aca="false">IF(OR(K77="",I77=0),"",K77/I77)</f>
        <v/>
      </c>
      <c r="M77" s="16"/>
      <c r="N77" s="14" t="str">
        <f aca="false">IF(OR(K77="",M77=""),"",K77*M77/1000)</f>
        <v/>
      </c>
      <c r="O77" s="4"/>
      <c r="P77" s="5"/>
      <c r="Q77" s="5"/>
      <c r="R77" s="5"/>
      <c r="S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13"/>
      <c r="J78" s="13"/>
      <c r="K78" s="14" t="str">
        <f aca="false">IF(OR(I78="",J78=""),"",I78-J78)</f>
        <v/>
      </c>
      <c r="L78" s="15" t="str">
        <f aca="false">IF(OR(K78="",I78=0),"",K78/I78)</f>
        <v/>
      </c>
      <c r="M78" s="16"/>
      <c r="N78" s="14" t="str">
        <f aca="false">IF(OR(K78="",M78=""),"",K78*M78/1000)</f>
        <v/>
      </c>
      <c r="O78" s="4"/>
      <c r="P78" s="5"/>
      <c r="Q78" s="5"/>
      <c r="R78" s="5"/>
      <c r="S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13"/>
      <c r="J79" s="13"/>
      <c r="K79" s="14" t="str">
        <f aca="false">IF(OR(I79="",J79=""),"",I79-J79)</f>
        <v/>
      </c>
      <c r="L79" s="15" t="str">
        <f aca="false">IF(OR(K79="",I79=0),"",K79/I79)</f>
        <v/>
      </c>
      <c r="M79" s="16"/>
      <c r="N79" s="14" t="str">
        <f aca="false">IF(OR(K79="",M79=""),"",K79*M79/1000)</f>
        <v/>
      </c>
      <c r="O79" s="4"/>
      <c r="P79" s="5"/>
      <c r="Q79" s="5"/>
      <c r="R79" s="5"/>
      <c r="S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13"/>
      <c r="J80" s="13"/>
      <c r="K80" s="14" t="str">
        <f aca="false">IF(OR(I80="",J80=""),"",I80-J80)</f>
        <v/>
      </c>
      <c r="L80" s="15" t="str">
        <f aca="false">IF(OR(K80="",I80=0),"",K80/I80)</f>
        <v/>
      </c>
      <c r="M80" s="16"/>
      <c r="N80" s="14" t="str">
        <f aca="false">IF(OR(K80="",M80=""),"",K80*M80/1000)</f>
        <v/>
      </c>
      <c r="O80" s="4"/>
      <c r="P80" s="5"/>
      <c r="Q80" s="5"/>
      <c r="R80" s="5"/>
      <c r="S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13"/>
      <c r="J81" s="13"/>
      <c r="K81" s="14" t="str">
        <f aca="false">IF(OR(I81="",J81=""),"",I81-J81)</f>
        <v/>
      </c>
      <c r="L81" s="15" t="str">
        <f aca="false">IF(OR(K81="",I81=0),"",K81/I81)</f>
        <v/>
      </c>
      <c r="M81" s="16"/>
      <c r="N81" s="14" t="str">
        <f aca="false">IF(OR(K81="",M81=""),"",K81*M81/1000)</f>
        <v/>
      </c>
      <c r="O81" s="4"/>
      <c r="P81" s="5"/>
      <c r="Q81" s="5"/>
      <c r="R81" s="5"/>
      <c r="S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13"/>
      <c r="J82" s="13"/>
      <c r="K82" s="14" t="str">
        <f aca="false">IF(OR(I82="",J82=""),"",I82-J82)</f>
        <v/>
      </c>
      <c r="L82" s="15" t="str">
        <f aca="false">IF(OR(K82="",I82=0),"",K82/I82)</f>
        <v/>
      </c>
      <c r="M82" s="16"/>
      <c r="N82" s="14" t="str">
        <f aca="false">IF(OR(K82="",M82=""),"",K82*M82/1000)</f>
        <v/>
      </c>
      <c r="O82" s="4"/>
      <c r="P82" s="5"/>
      <c r="Q82" s="5"/>
      <c r="R82" s="5"/>
      <c r="S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13"/>
      <c r="J83" s="13"/>
      <c r="K83" s="14" t="str">
        <f aca="false">IF(OR(I83="",J83=""),"",I83-J83)</f>
        <v/>
      </c>
      <c r="L83" s="15" t="str">
        <f aca="false">IF(OR(K83="",I83=0),"",K83/I83)</f>
        <v/>
      </c>
      <c r="M83" s="16"/>
      <c r="N83" s="14" t="str">
        <f aca="false">IF(OR(K83="",M83=""),"",K83*M83/1000)</f>
        <v/>
      </c>
      <c r="O83" s="4"/>
      <c r="P83" s="5"/>
      <c r="Q83" s="5"/>
      <c r="R83" s="5"/>
      <c r="S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13"/>
      <c r="J84" s="13"/>
      <c r="K84" s="14" t="str">
        <f aca="false">IF(OR(I84="",J84=""),"",I84-J84)</f>
        <v/>
      </c>
      <c r="L84" s="15" t="str">
        <f aca="false">IF(OR(K84="",I84=0),"",K84/I84)</f>
        <v/>
      </c>
      <c r="M84" s="16"/>
      <c r="N84" s="14" t="str">
        <f aca="false">IF(OR(K84="",M84=""),"",K84*M84/1000)</f>
        <v/>
      </c>
      <c r="O84" s="4"/>
      <c r="P84" s="5"/>
      <c r="Q84" s="5"/>
      <c r="R84" s="5"/>
      <c r="S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13"/>
      <c r="J85" s="13"/>
      <c r="K85" s="14" t="str">
        <f aca="false">IF(OR(I85="",J85=""),"",I85-J85)</f>
        <v/>
      </c>
      <c r="L85" s="15" t="str">
        <f aca="false">IF(OR(K85="",I85=0),"",K85/I85)</f>
        <v/>
      </c>
      <c r="M85" s="16"/>
      <c r="N85" s="14" t="str">
        <f aca="false">IF(OR(K85="",M85=""),"",K85*M85/1000)</f>
        <v/>
      </c>
      <c r="O85" s="4"/>
      <c r="P85" s="5"/>
      <c r="Q85" s="5"/>
      <c r="R85" s="5"/>
      <c r="S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13"/>
      <c r="J86" s="13"/>
      <c r="K86" s="14" t="str">
        <f aca="false">IF(OR(I86="",J86=""),"",I86-J86)</f>
        <v/>
      </c>
      <c r="L86" s="15" t="str">
        <f aca="false">IF(OR(K86="",I86=0),"",K86/I86)</f>
        <v/>
      </c>
      <c r="M86" s="16"/>
      <c r="N86" s="14" t="str">
        <f aca="false">IF(OR(K86="",M86=""),"",K86*M86/1000)</f>
        <v/>
      </c>
      <c r="O86" s="4"/>
      <c r="P86" s="5"/>
      <c r="Q86" s="5"/>
      <c r="R86" s="5"/>
      <c r="S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13"/>
      <c r="J87" s="13"/>
      <c r="K87" s="14" t="str">
        <f aca="false">IF(OR(I87="",J87=""),"",I87-J87)</f>
        <v/>
      </c>
      <c r="L87" s="15" t="str">
        <f aca="false">IF(OR(K87="",I87=0),"",K87/I87)</f>
        <v/>
      </c>
      <c r="M87" s="16"/>
      <c r="N87" s="14" t="str">
        <f aca="false">IF(OR(K87="",M87=""),"",K87*M87/1000)</f>
        <v/>
      </c>
      <c r="O87" s="4"/>
      <c r="P87" s="5"/>
      <c r="Q87" s="5"/>
      <c r="R87" s="5"/>
      <c r="S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13"/>
      <c r="J88" s="13"/>
      <c r="K88" s="14" t="str">
        <f aca="false">IF(OR(I88="",J88=""),"",I88-J88)</f>
        <v/>
      </c>
      <c r="L88" s="15" t="str">
        <f aca="false">IF(OR(K88="",I88=0),"",K88/I88)</f>
        <v/>
      </c>
      <c r="M88" s="16"/>
      <c r="N88" s="14" t="str">
        <f aca="false">IF(OR(K88="",M88=""),"",K88*M88/1000)</f>
        <v/>
      </c>
      <c r="O88" s="4"/>
      <c r="P88" s="5"/>
      <c r="Q88" s="5"/>
      <c r="R88" s="5"/>
      <c r="S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13"/>
      <c r="J89" s="13"/>
      <c r="K89" s="14" t="str">
        <f aca="false">IF(OR(I89="",J89=""),"",I89-J89)</f>
        <v/>
      </c>
      <c r="L89" s="15" t="str">
        <f aca="false">IF(OR(K89="",I89=0),"",K89/I89)</f>
        <v/>
      </c>
      <c r="M89" s="16"/>
      <c r="N89" s="14" t="str">
        <f aca="false">IF(OR(K89="",M89=""),"",K89*M89/1000)</f>
        <v/>
      </c>
      <c r="O89" s="4"/>
      <c r="P89" s="5"/>
      <c r="Q89" s="5"/>
      <c r="R89" s="5"/>
      <c r="S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13"/>
      <c r="J90" s="13"/>
      <c r="K90" s="14" t="str">
        <f aca="false">IF(OR(I90="",J90=""),"",I90-J90)</f>
        <v/>
      </c>
      <c r="L90" s="15" t="str">
        <f aca="false">IF(OR(K90="",I90=0),"",K90/I90)</f>
        <v/>
      </c>
      <c r="M90" s="16"/>
      <c r="N90" s="14" t="str">
        <f aca="false">IF(OR(K90="",M90=""),"",K90*M90/1000)</f>
        <v/>
      </c>
      <c r="O90" s="4"/>
      <c r="P90" s="5"/>
      <c r="Q90" s="5"/>
      <c r="R90" s="5"/>
      <c r="S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13"/>
      <c r="J91" s="13"/>
      <c r="K91" s="14" t="str">
        <f aca="false">IF(OR(I91="",J91=""),"",I91-J91)</f>
        <v/>
      </c>
      <c r="L91" s="15" t="str">
        <f aca="false">IF(OR(K91="",I91=0),"",K91/I91)</f>
        <v/>
      </c>
      <c r="M91" s="16"/>
      <c r="N91" s="14" t="str">
        <f aca="false">IF(OR(K91="",M91=""),"",K91*M91/1000)</f>
        <v/>
      </c>
      <c r="O91" s="4"/>
      <c r="P91" s="5"/>
      <c r="Q91" s="5"/>
      <c r="R91" s="5"/>
      <c r="S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13"/>
      <c r="J92" s="13"/>
      <c r="K92" s="14" t="str">
        <f aca="false">IF(OR(I92="",J92=""),"",I92-J92)</f>
        <v/>
      </c>
      <c r="L92" s="15" t="str">
        <f aca="false">IF(OR(K92="",I92=0),"",K92/I92)</f>
        <v/>
      </c>
      <c r="M92" s="16"/>
      <c r="N92" s="14" t="str">
        <f aca="false">IF(OR(K92="",M92=""),"",K92*M92/1000)</f>
        <v/>
      </c>
      <c r="O92" s="4"/>
      <c r="P92" s="5"/>
      <c r="Q92" s="5"/>
      <c r="R92" s="5"/>
      <c r="S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13"/>
      <c r="J93" s="13"/>
      <c r="K93" s="14" t="str">
        <f aca="false">IF(OR(I93="",J93=""),"",I93-J93)</f>
        <v/>
      </c>
      <c r="L93" s="15" t="str">
        <f aca="false">IF(OR(K93="",I93=0),"",K93/I93)</f>
        <v/>
      </c>
      <c r="M93" s="16"/>
      <c r="N93" s="14" t="str">
        <f aca="false">IF(OR(K93="",M93=""),"",K93*M93/1000)</f>
        <v/>
      </c>
      <c r="O93" s="4"/>
      <c r="P93" s="5"/>
      <c r="Q93" s="5"/>
      <c r="R93" s="5"/>
      <c r="S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13"/>
      <c r="J94" s="13"/>
      <c r="K94" s="14" t="str">
        <f aca="false">IF(OR(I94="",J94=""),"",I94-J94)</f>
        <v/>
      </c>
      <c r="L94" s="15" t="str">
        <f aca="false">IF(OR(K94="",I94=0),"",K94/I94)</f>
        <v/>
      </c>
      <c r="M94" s="16"/>
      <c r="N94" s="14" t="str">
        <f aca="false">IF(OR(K94="",M94=""),"",K94*M94/1000)</f>
        <v/>
      </c>
      <c r="O94" s="4"/>
      <c r="P94" s="5"/>
      <c r="Q94" s="5"/>
      <c r="R94" s="5"/>
      <c r="S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13"/>
      <c r="J95" s="13"/>
      <c r="K95" s="14" t="str">
        <f aca="false">IF(OR(I95="",J95=""),"",I95-J95)</f>
        <v/>
      </c>
      <c r="L95" s="15" t="str">
        <f aca="false">IF(OR(K95="",I95=0),"",K95/I95)</f>
        <v/>
      </c>
      <c r="M95" s="16"/>
      <c r="N95" s="14" t="str">
        <f aca="false">IF(OR(K95="",M95=""),"",K95*M95/1000)</f>
        <v/>
      </c>
      <c r="O95" s="4"/>
      <c r="P95" s="5"/>
      <c r="Q95" s="5"/>
      <c r="R95" s="5"/>
      <c r="S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13"/>
      <c r="J96" s="13"/>
      <c r="K96" s="14" t="str">
        <f aca="false">IF(OR(I96="",J96=""),"",I96-J96)</f>
        <v/>
      </c>
      <c r="L96" s="15" t="str">
        <f aca="false">IF(OR(K96="",I96=0),"",K96/I96)</f>
        <v/>
      </c>
      <c r="M96" s="16"/>
      <c r="N96" s="14" t="str">
        <f aca="false">IF(OR(K96="",M96=""),"",K96*M96/1000)</f>
        <v/>
      </c>
      <c r="O96" s="4"/>
      <c r="P96" s="5"/>
      <c r="Q96" s="5"/>
      <c r="R96" s="5"/>
      <c r="S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13"/>
      <c r="J97" s="13"/>
      <c r="K97" s="14" t="str">
        <f aca="false">IF(OR(I97="",J97=""),"",I97-J97)</f>
        <v/>
      </c>
      <c r="L97" s="15" t="str">
        <f aca="false">IF(OR(K97="",I97=0),"",K97/I97)</f>
        <v/>
      </c>
      <c r="M97" s="16"/>
      <c r="N97" s="14" t="str">
        <f aca="false">IF(OR(K97="",M97=""),"",K97*M97/1000)</f>
        <v/>
      </c>
      <c r="O97" s="4"/>
      <c r="P97" s="5"/>
      <c r="Q97" s="5"/>
      <c r="R97" s="5"/>
      <c r="S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13"/>
      <c r="J98" s="13"/>
      <c r="K98" s="14" t="str">
        <f aca="false">IF(OR(I98="",J98=""),"",I98-J98)</f>
        <v/>
      </c>
      <c r="L98" s="15" t="str">
        <f aca="false">IF(OR(K98="",I98=0),"",K98/I98)</f>
        <v/>
      </c>
      <c r="M98" s="16"/>
      <c r="N98" s="14" t="str">
        <f aca="false">IF(OR(K98="",M98=""),"",K98*M98/1000)</f>
        <v/>
      </c>
      <c r="O98" s="4"/>
      <c r="P98" s="5"/>
      <c r="Q98" s="5"/>
      <c r="R98" s="5"/>
      <c r="S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13"/>
      <c r="J99" s="13"/>
      <c r="K99" s="14" t="str">
        <f aca="false">IF(OR(I99="",J99=""),"",I99-J99)</f>
        <v/>
      </c>
      <c r="L99" s="15" t="str">
        <f aca="false">IF(OR(K99="",I99=0),"",K99/I99)</f>
        <v/>
      </c>
      <c r="M99" s="16"/>
      <c r="N99" s="14" t="str">
        <f aca="false">IF(OR(K99="",M99=""),"",K99*M99/1000)</f>
        <v/>
      </c>
      <c r="O99" s="4"/>
      <c r="P99" s="5"/>
      <c r="Q99" s="5"/>
      <c r="R99" s="5"/>
      <c r="S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13"/>
      <c r="J100" s="13"/>
      <c r="K100" s="14" t="str">
        <f aca="false">IF(OR(I100="",J100=""),"",I100-J100)</f>
        <v/>
      </c>
      <c r="L100" s="15" t="str">
        <f aca="false">IF(OR(K100="",I100=0),"",K100/I100)</f>
        <v/>
      </c>
      <c r="M100" s="16"/>
      <c r="N100" s="14" t="str">
        <f aca="false">IF(OR(K100="",M100=""),"",K100*M100/1000)</f>
        <v/>
      </c>
      <c r="O100" s="4"/>
      <c r="P100" s="5"/>
      <c r="Q100" s="5"/>
      <c r="R100" s="5"/>
      <c r="S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13"/>
      <c r="J101" s="13"/>
      <c r="K101" s="14" t="str">
        <f aca="false">IF(OR(I101="",J101=""),"",I101-J101)</f>
        <v/>
      </c>
      <c r="L101" s="15" t="str">
        <f aca="false">IF(OR(K101="",I101=0),"",K101/I101)</f>
        <v/>
      </c>
      <c r="M101" s="16"/>
      <c r="N101" s="14" t="str">
        <f aca="false">IF(OR(K101="",M101=""),"",K101*M101/1000)</f>
        <v/>
      </c>
      <c r="O101" s="4"/>
      <c r="P101" s="5"/>
      <c r="Q101" s="5"/>
      <c r="R101" s="5"/>
      <c r="S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13"/>
      <c r="J102" s="13"/>
      <c r="K102" s="14" t="str">
        <f aca="false">IF(OR(I102="",J102=""),"",I102-J102)</f>
        <v/>
      </c>
      <c r="L102" s="15" t="str">
        <f aca="false">IF(OR(K102="",I102=0),"",K102/I102)</f>
        <v/>
      </c>
      <c r="M102" s="16"/>
      <c r="N102" s="14" t="str">
        <f aca="false">IF(OR(K102="",M102=""),"",K102*M102/1000)</f>
        <v/>
      </c>
      <c r="O102" s="4"/>
      <c r="P102" s="5"/>
      <c r="Q102" s="5"/>
      <c r="R102" s="5"/>
      <c r="S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13"/>
      <c r="J103" s="13"/>
      <c r="K103" s="14" t="str">
        <f aca="false">IF(OR(I103="",J103=""),"",I103-J103)</f>
        <v/>
      </c>
      <c r="L103" s="15" t="str">
        <f aca="false">IF(OR(K103="",I103=0),"",K103/I103)</f>
        <v/>
      </c>
      <c r="M103" s="16"/>
      <c r="N103" s="14" t="str">
        <f aca="false">IF(OR(K103="",M103=""),"",K103*M103/1000)</f>
        <v/>
      </c>
      <c r="O103" s="4"/>
      <c r="P103" s="5"/>
      <c r="Q103" s="5"/>
      <c r="R103" s="5"/>
      <c r="S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13"/>
      <c r="J104" s="13"/>
      <c r="K104" s="14" t="str">
        <f aca="false">IF(OR(I104="",J104=""),"",I104-J104)</f>
        <v/>
      </c>
      <c r="L104" s="15" t="str">
        <f aca="false">IF(OR(K104="",I104=0),"",K104/I104)</f>
        <v/>
      </c>
      <c r="M104" s="16"/>
      <c r="N104" s="14" t="str">
        <f aca="false">IF(OR(K104="",M104=""),"",K104*M104/1000)</f>
        <v/>
      </c>
      <c r="O104" s="4"/>
      <c r="P104" s="5"/>
      <c r="Q104" s="5"/>
      <c r="R104" s="5"/>
      <c r="S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13"/>
      <c r="J105" s="13"/>
      <c r="K105" s="14" t="str">
        <f aca="false">IF(OR(I105="",J105=""),"",I105-J105)</f>
        <v/>
      </c>
      <c r="L105" s="15" t="str">
        <f aca="false">IF(OR(K105="",I105=0),"",K105/I105)</f>
        <v/>
      </c>
      <c r="M105" s="16"/>
      <c r="N105" s="14" t="str">
        <f aca="false">IF(OR(K105="",M105=""),"",K105*M105/1000)</f>
        <v/>
      </c>
      <c r="O105" s="4"/>
      <c r="P105" s="5"/>
      <c r="Q105" s="5"/>
      <c r="R105" s="5"/>
      <c r="S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13"/>
      <c r="J106" s="13"/>
      <c r="K106" s="14" t="str">
        <f aca="false">IF(OR(I106="",J106=""),"",I106-J106)</f>
        <v/>
      </c>
      <c r="L106" s="15" t="str">
        <f aca="false">IF(OR(K106="",I106=0),"",K106/I106)</f>
        <v/>
      </c>
      <c r="M106" s="16"/>
      <c r="N106" s="14" t="str">
        <f aca="false">IF(OR(K106="",M106=""),"",K106*M106/1000)</f>
        <v/>
      </c>
      <c r="O106" s="4"/>
      <c r="P106" s="5"/>
      <c r="Q106" s="5"/>
      <c r="R106" s="5"/>
      <c r="S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13"/>
      <c r="J107" s="13"/>
      <c r="K107" s="14" t="str">
        <f aca="false">IF(OR(I107="",J107=""),"",I107-J107)</f>
        <v/>
      </c>
      <c r="L107" s="15" t="str">
        <f aca="false">IF(OR(K107="",I107=0),"",K107/I107)</f>
        <v/>
      </c>
      <c r="M107" s="16"/>
      <c r="N107" s="14" t="str">
        <f aca="false">IF(OR(K107="",M107=""),"",K107*M107/1000)</f>
        <v/>
      </c>
      <c r="O107" s="4"/>
      <c r="P107" s="5"/>
      <c r="Q107" s="5"/>
      <c r="R107" s="5"/>
      <c r="S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13"/>
      <c r="J108" s="13"/>
      <c r="K108" s="14" t="str">
        <f aca="false">IF(OR(I108="",J108=""),"",I108-J108)</f>
        <v/>
      </c>
      <c r="L108" s="15" t="str">
        <f aca="false">IF(OR(K108="",I108=0),"",K108/I108)</f>
        <v/>
      </c>
      <c r="M108" s="16"/>
      <c r="N108" s="14" t="str">
        <f aca="false">IF(OR(K108="",M108=""),"",K108*M108/1000)</f>
        <v/>
      </c>
      <c r="O108" s="4"/>
      <c r="P108" s="5"/>
      <c r="Q108" s="5"/>
      <c r="R108" s="5"/>
      <c r="S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13"/>
      <c r="J109" s="13"/>
      <c r="K109" s="14" t="str">
        <f aca="false">IF(OR(I109="",J109=""),"",I109-J109)</f>
        <v/>
      </c>
      <c r="L109" s="15" t="str">
        <f aca="false">IF(OR(K109="",I109=0),"",K109/I109)</f>
        <v/>
      </c>
      <c r="M109" s="16"/>
      <c r="N109" s="14" t="str">
        <f aca="false">IF(OR(K109="",M109=""),"",K109*M109/1000)</f>
        <v/>
      </c>
      <c r="O109" s="4"/>
      <c r="P109" s="5"/>
      <c r="Q109" s="5"/>
      <c r="R109" s="5"/>
      <c r="S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13"/>
      <c r="J110" s="13"/>
      <c r="K110" s="14" t="str">
        <f aca="false">IF(OR(I110="",J110=""),"",I110-J110)</f>
        <v/>
      </c>
      <c r="L110" s="15" t="str">
        <f aca="false">IF(OR(K110="",I110=0),"",K110/I110)</f>
        <v/>
      </c>
      <c r="M110" s="16"/>
      <c r="N110" s="14" t="str">
        <f aca="false">IF(OR(K110="",M110=""),"",K110*M110/1000)</f>
        <v/>
      </c>
      <c r="O110" s="4"/>
      <c r="P110" s="5"/>
      <c r="Q110" s="5"/>
      <c r="R110" s="5"/>
      <c r="S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13"/>
      <c r="J111" s="13"/>
      <c r="K111" s="14" t="str">
        <f aca="false">IF(OR(I111="",J111=""),"",I111-J111)</f>
        <v/>
      </c>
      <c r="L111" s="15" t="str">
        <f aca="false">IF(OR(K111="",I111=0),"",K111/I111)</f>
        <v/>
      </c>
      <c r="M111" s="16"/>
      <c r="N111" s="14" t="str">
        <f aca="false">IF(OR(K111="",M111=""),"",K111*M111/1000)</f>
        <v/>
      </c>
      <c r="O111" s="4"/>
      <c r="P111" s="5"/>
      <c r="Q111" s="5"/>
      <c r="R111" s="5"/>
      <c r="S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13"/>
      <c r="J112" s="13"/>
      <c r="K112" s="14" t="str">
        <f aca="false">IF(OR(I112="",J112=""),"",I112-J112)</f>
        <v/>
      </c>
      <c r="L112" s="15" t="str">
        <f aca="false">IF(OR(K112="",I112=0),"",K112/I112)</f>
        <v/>
      </c>
      <c r="M112" s="16"/>
      <c r="N112" s="14" t="str">
        <f aca="false">IF(OR(K112="",M112=""),"",K112*M112/1000)</f>
        <v/>
      </c>
      <c r="O112" s="4"/>
      <c r="P112" s="5"/>
      <c r="Q112" s="5"/>
      <c r="R112" s="5"/>
      <c r="S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13"/>
      <c r="J113" s="13"/>
      <c r="K113" s="14" t="str">
        <f aca="false">IF(OR(I113="",J113=""),"",I113-J113)</f>
        <v/>
      </c>
      <c r="L113" s="15" t="str">
        <f aca="false">IF(OR(K113="",I113=0),"",K113/I113)</f>
        <v/>
      </c>
      <c r="M113" s="16"/>
      <c r="N113" s="14" t="str">
        <f aca="false">IF(OR(K113="",M113=""),"",K113*M113/1000)</f>
        <v/>
      </c>
      <c r="O113" s="4"/>
      <c r="P113" s="5"/>
      <c r="Q113" s="5"/>
      <c r="R113" s="5"/>
      <c r="S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13"/>
      <c r="J114" s="13"/>
      <c r="K114" s="14" t="str">
        <f aca="false">IF(OR(I114="",J114=""),"",I114-J114)</f>
        <v/>
      </c>
      <c r="L114" s="15" t="str">
        <f aca="false">IF(OR(K114="",I114=0),"",K114/I114)</f>
        <v/>
      </c>
      <c r="M114" s="16"/>
      <c r="N114" s="14" t="str">
        <f aca="false">IF(OR(K114="",M114=""),"",K114*M114/1000)</f>
        <v/>
      </c>
      <c r="O114" s="4"/>
      <c r="P114" s="5"/>
      <c r="Q114" s="5"/>
      <c r="R114" s="5"/>
      <c r="S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13"/>
      <c r="J115" s="13"/>
      <c r="K115" s="14" t="str">
        <f aca="false">IF(OR(I115="",J115=""),"",I115-J115)</f>
        <v/>
      </c>
      <c r="L115" s="15" t="str">
        <f aca="false">IF(OR(K115="",I115=0),"",K115/I115)</f>
        <v/>
      </c>
      <c r="M115" s="16"/>
      <c r="N115" s="14" t="str">
        <f aca="false">IF(OR(K115="",M115=""),"",K115*M115/1000)</f>
        <v/>
      </c>
      <c r="O115" s="4"/>
      <c r="P115" s="5"/>
      <c r="Q115" s="5"/>
      <c r="R115" s="5"/>
      <c r="S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13"/>
      <c r="J116" s="13"/>
      <c r="K116" s="14" t="str">
        <f aca="false">IF(OR(I116="",J116=""),"",I116-J116)</f>
        <v/>
      </c>
      <c r="L116" s="15" t="str">
        <f aca="false">IF(OR(K116="",I116=0),"",K116/I116)</f>
        <v/>
      </c>
      <c r="M116" s="16"/>
      <c r="N116" s="14" t="str">
        <f aca="false">IF(OR(K116="",M116=""),"",K116*M116/1000)</f>
        <v/>
      </c>
      <c r="O116" s="4"/>
      <c r="P116" s="5"/>
      <c r="Q116" s="5"/>
      <c r="R116" s="5"/>
      <c r="S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13"/>
      <c r="J117" s="13"/>
      <c r="K117" s="14" t="str">
        <f aca="false">IF(OR(I117="",J117=""),"",I117-J117)</f>
        <v/>
      </c>
      <c r="L117" s="15" t="str">
        <f aca="false">IF(OR(K117="",I117=0),"",K117/I117)</f>
        <v/>
      </c>
      <c r="M117" s="16"/>
      <c r="N117" s="14" t="str">
        <f aca="false">IF(OR(K117="",M117=""),"",K117*M117/1000)</f>
        <v/>
      </c>
      <c r="O117" s="4"/>
      <c r="P117" s="5"/>
      <c r="Q117" s="5"/>
      <c r="R117" s="5"/>
      <c r="S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13"/>
      <c r="J118" s="13"/>
      <c r="K118" s="14" t="str">
        <f aca="false">IF(OR(I118="",J118=""),"",I118-J118)</f>
        <v/>
      </c>
      <c r="L118" s="15" t="str">
        <f aca="false">IF(OR(K118="",I118=0),"",K118/I118)</f>
        <v/>
      </c>
      <c r="M118" s="16"/>
      <c r="N118" s="14" t="str">
        <f aca="false">IF(OR(K118="",M118=""),"",K118*M118/1000)</f>
        <v/>
      </c>
      <c r="O118" s="4"/>
      <c r="P118" s="5"/>
      <c r="Q118" s="5"/>
      <c r="R118" s="5"/>
      <c r="S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13"/>
      <c r="J119" s="13"/>
      <c r="K119" s="14" t="str">
        <f aca="false">IF(OR(I119="",J119=""),"",I119-J119)</f>
        <v/>
      </c>
      <c r="L119" s="15" t="str">
        <f aca="false">IF(OR(K119="",I119=0),"",K119/I119)</f>
        <v/>
      </c>
      <c r="M119" s="16"/>
      <c r="N119" s="14" t="str">
        <f aca="false">IF(OR(K119="",M119=""),"",K119*M119/1000)</f>
        <v/>
      </c>
      <c r="O119" s="4"/>
      <c r="P119" s="5"/>
      <c r="Q119" s="5"/>
      <c r="R119" s="5"/>
      <c r="S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13"/>
      <c r="J120" s="13"/>
      <c r="K120" s="14" t="str">
        <f aca="false">IF(OR(I120="",J120=""),"",I120-J120)</f>
        <v/>
      </c>
      <c r="L120" s="15" t="str">
        <f aca="false">IF(OR(K120="",I120=0),"",K120/I120)</f>
        <v/>
      </c>
      <c r="M120" s="16"/>
      <c r="N120" s="14" t="str">
        <f aca="false">IF(OR(K120="",M120=""),"",K120*M120/1000)</f>
        <v/>
      </c>
      <c r="O120" s="4"/>
      <c r="P120" s="5"/>
      <c r="Q120" s="5"/>
      <c r="R120" s="5"/>
      <c r="S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13"/>
      <c r="J121" s="13"/>
      <c r="K121" s="14" t="str">
        <f aca="false">IF(OR(I121="",J121=""),"",I121-J121)</f>
        <v/>
      </c>
      <c r="L121" s="15" t="str">
        <f aca="false">IF(OR(K121="",I121=0),"",K121/I121)</f>
        <v/>
      </c>
      <c r="M121" s="16"/>
      <c r="N121" s="14" t="str">
        <f aca="false">IF(OR(K121="",M121=""),"",K121*M121/1000)</f>
        <v/>
      </c>
      <c r="O121" s="4"/>
      <c r="P121" s="5"/>
      <c r="Q121" s="5"/>
      <c r="R121" s="5"/>
      <c r="S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13"/>
      <c r="J122" s="13"/>
      <c r="K122" s="14" t="str">
        <f aca="false">IF(OR(I122="",J122=""),"",I122-J122)</f>
        <v/>
      </c>
      <c r="L122" s="15" t="str">
        <f aca="false">IF(OR(K122="",I122=0),"",K122/I122)</f>
        <v/>
      </c>
      <c r="M122" s="16"/>
      <c r="N122" s="14" t="str">
        <f aca="false">IF(OR(K122="",M122=""),"",K122*M122/1000)</f>
        <v/>
      </c>
      <c r="O122" s="4"/>
      <c r="P122" s="5"/>
      <c r="Q122" s="5"/>
      <c r="R122" s="5"/>
      <c r="S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13"/>
      <c r="J123" s="13"/>
      <c r="K123" s="14" t="str">
        <f aca="false">IF(OR(I123="",J123=""),"",I123-J123)</f>
        <v/>
      </c>
      <c r="L123" s="15" t="str">
        <f aca="false">IF(OR(K123="",I123=0),"",K123/I123)</f>
        <v/>
      </c>
      <c r="M123" s="16"/>
      <c r="N123" s="14" t="str">
        <f aca="false">IF(OR(K123="",M123=""),"",K123*M123/1000)</f>
        <v/>
      </c>
      <c r="O123" s="4"/>
      <c r="P123" s="5"/>
      <c r="Q123" s="5"/>
      <c r="R123" s="5"/>
      <c r="S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13"/>
      <c r="J124" s="13"/>
      <c r="K124" s="14" t="str">
        <f aca="false">IF(OR(I124="",J124=""),"",I124-J124)</f>
        <v/>
      </c>
      <c r="L124" s="15" t="str">
        <f aca="false">IF(OR(K124="",I124=0),"",K124/I124)</f>
        <v/>
      </c>
      <c r="M124" s="16"/>
      <c r="N124" s="14" t="str">
        <f aca="false">IF(OR(K124="",M124=""),"",K124*M124/1000)</f>
        <v/>
      </c>
      <c r="O124" s="4"/>
      <c r="P124" s="5"/>
      <c r="Q124" s="5"/>
      <c r="R124" s="5"/>
      <c r="S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13"/>
      <c r="J125" s="13"/>
      <c r="K125" s="14" t="str">
        <f aca="false">IF(OR(I125="",J125=""),"",I125-J125)</f>
        <v/>
      </c>
      <c r="L125" s="15" t="str">
        <f aca="false">IF(OR(K125="",I125=0),"",K125/I125)</f>
        <v/>
      </c>
      <c r="M125" s="16"/>
      <c r="N125" s="14" t="str">
        <f aca="false">IF(OR(K125="",M125=""),"",K125*M125/1000)</f>
        <v/>
      </c>
      <c r="O125" s="4"/>
      <c r="P125" s="5"/>
      <c r="Q125" s="5"/>
      <c r="R125" s="5"/>
      <c r="S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13"/>
      <c r="J126" s="13"/>
      <c r="K126" s="14" t="str">
        <f aca="false">IF(OR(I126="",J126=""),"",I126-J126)</f>
        <v/>
      </c>
      <c r="L126" s="15" t="str">
        <f aca="false">IF(OR(K126="",I126=0),"",K126/I126)</f>
        <v/>
      </c>
      <c r="M126" s="16"/>
      <c r="N126" s="14" t="str">
        <f aca="false">IF(OR(K126="",M126=""),"",K126*M126/1000)</f>
        <v/>
      </c>
      <c r="O126" s="4"/>
      <c r="P126" s="5"/>
      <c r="Q126" s="5"/>
      <c r="R126" s="5"/>
      <c r="S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13"/>
      <c r="J127" s="13"/>
      <c r="K127" s="14" t="str">
        <f aca="false">IF(OR(I127="",J127=""),"",I127-J127)</f>
        <v/>
      </c>
      <c r="L127" s="15" t="str">
        <f aca="false">IF(OR(K127="",I127=0),"",K127/I127)</f>
        <v/>
      </c>
      <c r="M127" s="16"/>
      <c r="N127" s="14" t="str">
        <f aca="false">IF(OR(K127="",M127=""),"",K127*M127/1000)</f>
        <v/>
      </c>
      <c r="O127" s="4"/>
      <c r="P127" s="5"/>
      <c r="Q127" s="5"/>
      <c r="R127" s="5"/>
      <c r="S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13"/>
      <c r="J128" s="13"/>
      <c r="K128" s="14" t="str">
        <f aca="false">IF(OR(I128="",J128=""),"",I128-J128)</f>
        <v/>
      </c>
      <c r="L128" s="15" t="str">
        <f aca="false">IF(OR(K128="",I128=0),"",K128/I128)</f>
        <v/>
      </c>
      <c r="M128" s="16"/>
      <c r="N128" s="14" t="str">
        <f aca="false">IF(OR(K128="",M128=""),"",K128*M128/1000)</f>
        <v/>
      </c>
      <c r="O128" s="4"/>
      <c r="P128" s="5"/>
      <c r="Q128" s="5"/>
      <c r="R128" s="5"/>
      <c r="S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13"/>
      <c r="J129" s="13"/>
      <c r="K129" s="14" t="str">
        <f aca="false">IF(OR(I129="",J129=""),"",I129-J129)</f>
        <v/>
      </c>
      <c r="L129" s="15" t="str">
        <f aca="false">IF(OR(K129="",I129=0),"",K129/I129)</f>
        <v/>
      </c>
      <c r="M129" s="16"/>
      <c r="N129" s="14" t="str">
        <f aca="false">IF(OR(K129="",M129=""),"",K129*M129/1000)</f>
        <v/>
      </c>
      <c r="O129" s="4"/>
      <c r="P129" s="5"/>
      <c r="Q129" s="5"/>
      <c r="R129" s="5"/>
      <c r="S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13"/>
      <c r="J130" s="13"/>
      <c r="K130" s="14" t="str">
        <f aca="false">IF(OR(I130="",J130=""),"",I130-J130)</f>
        <v/>
      </c>
      <c r="L130" s="15" t="str">
        <f aca="false">IF(OR(K130="",I130=0),"",K130/I130)</f>
        <v/>
      </c>
      <c r="M130" s="16"/>
      <c r="N130" s="14" t="str">
        <f aca="false">IF(OR(K130="",M130=""),"",K130*M130/1000)</f>
        <v/>
      </c>
      <c r="O130" s="4"/>
      <c r="P130" s="5"/>
      <c r="Q130" s="5"/>
      <c r="R130" s="5"/>
      <c r="S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13"/>
      <c r="J131" s="13"/>
      <c r="K131" s="14" t="str">
        <f aca="false">IF(OR(I131="",J131=""),"",I131-J131)</f>
        <v/>
      </c>
      <c r="L131" s="15" t="str">
        <f aca="false">IF(OR(K131="",I131=0),"",K131/I131)</f>
        <v/>
      </c>
      <c r="M131" s="16"/>
      <c r="N131" s="14" t="str">
        <f aca="false">IF(OR(K131="",M131=""),"",K131*M131/1000)</f>
        <v/>
      </c>
      <c r="O131" s="4"/>
      <c r="P131" s="5"/>
      <c r="Q131" s="5"/>
      <c r="R131" s="5"/>
      <c r="S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13"/>
      <c r="J132" s="13"/>
      <c r="K132" s="14" t="str">
        <f aca="false">IF(OR(I132="",J132=""),"",I132-J132)</f>
        <v/>
      </c>
      <c r="L132" s="15" t="str">
        <f aca="false">IF(OR(K132="",I132=0),"",K132/I132)</f>
        <v/>
      </c>
      <c r="M132" s="16"/>
      <c r="N132" s="14" t="str">
        <f aca="false">IF(OR(K132="",M132=""),"",K132*M132/1000)</f>
        <v/>
      </c>
      <c r="O132" s="4"/>
      <c r="P132" s="5"/>
      <c r="Q132" s="5"/>
      <c r="R132" s="5"/>
      <c r="S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13"/>
      <c r="J133" s="13"/>
      <c r="K133" s="14" t="str">
        <f aca="false">IF(OR(I133="",J133=""),"",I133-J133)</f>
        <v/>
      </c>
      <c r="L133" s="15" t="str">
        <f aca="false">IF(OR(K133="",I133=0),"",K133/I133)</f>
        <v/>
      </c>
      <c r="M133" s="16"/>
      <c r="N133" s="14" t="str">
        <f aca="false">IF(OR(K133="",M133=""),"",K133*M133/1000)</f>
        <v/>
      </c>
      <c r="O133" s="4"/>
      <c r="P133" s="5"/>
      <c r="Q133" s="5"/>
      <c r="R133" s="5"/>
      <c r="S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13"/>
      <c r="J134" s="13"/>
      <c r="K134" s="14" t="str">
        <f aca="false">IF(OR(I134="",J134=""),"",I134-J134)</f>
        <v/>
      </c>
      <c r="L134" s="15" t="str">
        <f aca="false">IF(OR(K134="",I134=0),"",K134/I134)</f>
        <v/>
      </c>
      <c r="M134" s="16"/>
      <c r="N134" s="14" t="str">
        <f aca="false">IF(OR(K134="",M134=""),"",K134*M134/1000)</f>
        <v/>
      </c>
      <c r="O134" s="4"/>
      <c r="P134" s="5"/>
      <c r="Q134" s="5"/>
      <c r="R134" s="5"/>
      <c r="S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13"/>
      <c r="J135" s="13"/>
      <c r="K135" s="14" t="str">
        <f aca="false">IF(OR(I135="",J135=""),"",I135-J135)</f>
        <v/>
      </c>
      <c r="L135" s="15" t="str">
        <f aca="false">IF(OR(K135="",I135=0),"",K135/I135)</f>
        <v/>
      </c>
      <c r="M135" s="16"/>
      <c r="N135" s="14" t="str">
        <f aca="false">IF(OR(K135="",M135=""),"",K135*M135/1000)</f>
        <v/>
      </c>
      <c r="O135" s="4"/>
      <c r="P135" s="5"/>
      <c r="Q135" s="5"/>
      <c r="R135" s="5"/>
      <c r="S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13"/>
      <c r="J136" s="13"/>
      <c r="K136" s="14" t="str">
        <f aca="false">IF(OR(I136="",J136=""),"",I136-J136)</f>
        <v/>
      </c>
      <c r="L136" s="15" t="str">
        <f aca="false">IF(OR(K136="",I136=0),"",K136/I136)</f>
        <v/>
      </c>
      <c r="M136" s="16"/>
      <c r="N136" s="14" t="str">
        <f aca="false">IF(OR(K136="",M136=""),"",K136*M136/1000)</f>
        <v/>
      </c>
      <c r="O136" s="4"/>
      <c r="P136" s="5"/>
      <c r="Q136" s="5"/>
      <c r="R136" s="5"/>
      <c r="S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13"/>
      <c r="J137" s="13"/>
      <c r="K137" s="14" t="str">
        <f aca="false">IF(OR(I137="",J137=""),"",I137-J137)</f>
        <v/>
      </c>
      <c r="L137" s="15" t="str">
        <f aca="false">IF(OR(K137="",I137=0),"",K137/I137)</f>
        <v/>
      </c>
      <c r="M137" s="16"/>
      <c r="N137" s="14" t="str">
        <f aca="false">IF(OR(K137="",M137=""),"",K137*M137/1000)</f>
        <v/>
      </c>
      <c r="O137" s="4"/>
      <c r="P137" s="5"/>
      <c r="Q137" s="5"/>
      <c r="R137" s="5"/>
      <c r="S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13"/>
      <c r="J138" s="13"/>
      <c r="K138" s="14" t="str">
        <f aca="false">IF(OR(I138="",J138=""),"",I138-J138)</f>
        <v/>
      </c>
      <c r="L138" s="15" t="str">
        <f aca="false">IF(OR(K138="",I138=0),"",K138/I138)</f>
        <v/>
      </c>
      <c r="M138" s="16"/>
      <c r="N138" s="14" t="str">
        <f aca="false">IF(OR(K138="",M138=""),"",K138*M138/1000)</f>
        <v/>
      </c>
      <c r="O138" s="4"/>
      <c r="P138" s="5"/>
      <c r="Q138" s="5"/>
      <c r="R138" s="5"/>
      <c r="S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13"/>
      <c r="J139" s="13"/>
      <c r="K139" s="14" t="str">
        <f aca="false">IF(OR(I139="",J139=""),"",I139-J139)</f>
        <v/>
      </c>
      <c r="L139" s="15" t="str">
        <f aca="false">IF(OR(K139="",I139=0),"",K139/I139)</f>
        <v/>
      </c>
      <c r="M139" s="16"/>
      <c r="N139" s="14" t="str">
        <f aca="false">IF(OR(K139="",M139=""),"",K139*M139/1000)</f>
        <v/>
      </c>
      <c r="O139" s="4"/>
      <c r="P139" s="5"/>
      <c r="Q139" s="5"/>
      <c r="R139" s="5"/>
      <c r="S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13"/>
      <c r="J140" s="13"/>
      <c r="K140" s="14" t="str">
        <f aca="false">IF(OR(I140="",J140=""),"",I140-J140)</f>
        <v/>
      </c>
      <c r="L140" s="15" t="str">
        <f aca="false">IF(OR(K140="",I140=0),"",K140/I140)</f>
        <v/>
      </c>
      <c r="M140" s="16"/>
      <c r="N140" s="14" t="str">
        <f aca="false">IF(OR(K140="",M140=""),"",K140*M140/1000)</f>
        <v/>
      </c>
      <c r="O140" s="4"/>
      <c r="P140" s="5"/>
      <c r="Q140" s="5"/>
      <c r="R140" s="5"/>
      <c r="S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13"/>
      <c r="J141" s="13"/>
      <c r="K141" s="14" t="str">
        <f aca="false">IF(OR(I141="",J141=""),"",I141-J141)</f>
        <v/>
      </c>
      <c r="L141" s="15" t="str">
        <f aca="false">IF(OR(K141="",I141=0),"",K141/I141)</f>
        <v/>
      </c>
      <c r="M141" s="16"/>
      <c r="N141" s="14" t="str">
        <f aca="false">IF(OR(K141="",M141=""),"",K141*M141/1000)</f>
        <v/>
      </c>
      <c r="O141" s="4"/>
      <c r="P141" s="5"/>
      <c r="Q141" s="5"/>
      <c r="R141" s="5"/>
      <c r="S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13"/>
      <c r="J142" s="13"/>
      <c r="K142" s="14" t="str">
        <f aca="false">IF(OR(I142="",J142=""),"",I142-J142)</f>
        <v/>
      </c>
      <c r="L142" s="15" t="str">
        <f aca="false">IF(OR(K142="",I142=0),"",K142/I142)</f>
        <v/>
      </c>
      <c r="M142" s="16"/>
      <c r="N142" s="14" t="str">
        <f aca="false">IF(OR(K142="",M142=""),"",K142*M142/1000)</f>
        <v/>
      </c>
      <c r="O142" s="4"/>
      <c r="P142" s="5"/>
      <c r="Q142" s="5"/>
      <c r="R142" s="5"/>
      <c r="S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13"/>
      <c r="J143" s="13"/>
      <c r="K143" s="14" t="str">
        <f aca="false">IF(OR(I143="",J143=""),"",I143-J143)</f>
        <v/>
      </c>
      <c r="L143" s="15" t="str">
        <f aca="false">IF(OR(K143="",I143=0),"",K143/I143)</f>
        <v/>
      </c>
      <c r="M143" s="16"/>
      <c r="N143" s="14" t="str">
        <f aca="false">IF(OR(K143="",M143=""),"",K143*M143/1000)</f>
        <v/>
      </c>
      <c r="O143" s="4"/>
      <c r="P143" s="5"/>
      <c r="Q143" s="5"/>
      <c r="R143" s="5"/>
      <c r="S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13"/>
      <c r="J144" s="13"/>
      <c r="K144" s="14" t="str">
        <f aca="false">IF(OR(I144="",J144=""),"",I144-J144)</f>
        <v/>
      </c>
      <c r="L144" s="15" t="str">
        <f aca="false">IF(OR(K144="",I144=0),"",K144/I144)</f>
        <v/>
      </c>
      <c r="M144" s="16"/>
      <c r="N144" s="14" t="str">
        <f aca="false">IF(OR(K144="",M144=""),"",K144*M144/1000)</f>
        <v/>
      </c>
      <c r="O144" s="4"/>
      <c r="P144" s="5"/>
      <c r="Q144" s="5"/>
      <c r="R144" s="5"/>
      <c r="S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13"/>
      <c r="J145" s="13"/>
      <c r="K145" s="14" t="str">
        <f aca="false">IF(OR(I145="",J145=""),"",I145-J145)</f>
        <v/>
      </c>
      <c r="L145" s="15" t="str">
        <f aca="false">IF(OR(K145="",I145=0),"",K145/I145)</f>
        <v/>
      </c>
      <c r="M145" s="16"/>
      <c r="N145" s="14" t="str">
        <f aca="false">IF(OR(K145="",M145=""),"",K145*M145/1000)</f>
        <v/>
      </c>
      <c r="O145" s="4"/>
      <c r="P145" s="5"/>
      <c r="Q145" s="5"/>
      <c r="R145" s="5"/>
      <c r="S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13"/>
      <c r="J146" s="13"/>
      <c r="K146" s="14" t="str">
        <f aca="false">IF(OR(I146="",J146=""),"",I146-J146)</f>
        <v/>
      </c>
      <c r="L146" s="15" t="str">
        <f aca="false">IF(OR(K146="",I146=0),"",K146/I146)</f>
        <v/>
      </c>
      <c r="M146" s="16"/>
      <c r="N146" s="14" t="str">
        <f aca="false">IF(OR(K146="",M146=""),"",K146*M146/1000)</f>
        <v/>
      </c>
      <c r="O146" s="4"/>
      <c r="P146" s="5"/>
      <c r="Q146" s="5"/>
      <c r="R146" s="5"/>
      <c r="S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13"/>
      <c r="J147" s="13"/>
      <c r="K147" s="14" t="str">
        <f aca="false">IF(OR(I147="",J147=""),"",I147-J147)</f>
        <v/>
      </c>
      <c r="L147" s="15" t="str">
        <f aca="false">IF(OR(K147="",I147=0),"",K147/I147)</f>
        <v/>
      </c>
      <c r="M147" s="16"/>
      <c r="N147" s="14" t="str">
        <f aca="false">IF(OR(K147="",M147=""),"",K147*M147/1000)</f>
        <v/>
      </c>
      <c r="O147" s="4"/>
      <c r="P147" s="5"/>
      <c r="Q147" s="5"/>
      <c r="R147" s="5"/>
      <c r="S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13"/>
      <c r="J148" s="13"/>
      <c r="K148" s="14" t="str">
        <f aca="false">IF(OR(I148="",J148=""),"",I148-J148)</f>
        <v/>
      </c>
      <c r="L148" s="15" t="str">
        <f aca="false">IF(OR(K148="",I148=0),"",K148/I148)</f>
        <v/>
      </c>
      <c r="M148" s="16"/>
      <c r="N148" s="14" t="str">
        <f aca="false">IF(OR(K148="",M148=""),"",K148*M148/1000)</f>
        <v/>
      </c>
      <c r="O148" s="4"/>
      <c r="P148" s="5"/>
      <c r="Q148" s="5"/>
      <c r="R148" s="5"/>
      <c r="S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13"/>
      <c r="J149" s="13"/>
      <c r="K149" s="14" t="str">
        <f aca="false">IF(OR(I149="",J149=""),"",I149-J149)</f>
        <v/>
      </c>
      <c r="L149" s="15" t="str">
        <f aca="false">IF(OR(K149="",I149=0),"",K149/I149)</f>
        <v/>
      </c>
      <c r="M149" s="16"/>
      <c r="N149" s="14" t="str">
        <f aca="false">IF(OR(K149="",M149=""),"",K149*M149/1000)</f>
        <v/>
      </c>
      <c r="O149" s="4"/>
      <c r="P149" s="5"/>
      <c r="Q149" s="5"/>
      <c r="R149" s="5"/>
      <c r="S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13"/>
      <c r="J150" s="13"/>
      <c r="K150" s="14" t="str">
        <f aca="false">IF(OR(I150="",J150=""),"",I150-J150)</f>
        <v/>
      </c>
      <c r="L150" s="15" t="str">
        <f aca="false">IF(OR(K150="",I150=0),"",K150/I150)</f>
        <v/>
      </c>
      <c r="M150" s="16"/>
      <c r="N150" s="14" t="str">
        <f aca="false">IF(OR(K150="",M150=""),"",K150*M150/1000)</f>
        <v/>
      </c>
      <c r="O150" s="4"/>
      <c r="P150" s="5"/>
      <c r="Q150" s="5"/>
      <c r="R150" s="5"/>
      <c r="S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13"/>
      <c r="J151" s="13"/>
      <c r="K151" s="14" t="str">
        <f aca="false">IF(OR(I151="",J151=""),"",I151-J151)</f>
        <v/>
      </c>
      <c r="L151" s="15" t="str">
        <f aca="false">IF(OR(K151="",I151=0),"",K151/I151)</f>
        <v/>
      </c>
      <c r="M151" s="16"/>
      <c r="N151" s="14" t="str">
        <f aca="false">IF(OR(K151="",M151=""),"",K151*M151/1000)</f>
        <v/>
      </c>
      <c r="O151" s="4"/>
      <c r="P151" s="5"/>
      <c r="Q151" s="5"/>
      <c r="R151" s="5"/>
      <c r="S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13"/>
      <c r="J152" s="13"/>
      <c r="K152" s="14" t="str">
        <f aca="false">IF(OR(I152="",J152=""),"",I152-J152)</f>
        <v/>
      </c>
      <c r="L152" s="15" t="str">
        <f aca="false">IF(OR(K152="",I152=0),"",K152/I152)</f>
        <v/>
      </c>
      <c r="M152" s="16"/>
      <c r="N152" s="14" t="str">
        <f aca="false">IF(OR(K152="",M152=""),"",K152*M152/1000)</f>
        <v/>
      </c>
      <c r="O152" s="4"/>
      <c r="P152" s="5"/>
      <c r="Q152" s="5"/>
      <c r="R152" s="5"/>
      <c r="S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13"/>
      <c r="J153" s="13"/>
      <c r="K153" s="14" t="str">
        <f aca="false">IF(OR(I153="",J153=""),"",I153-J153)</f>
        <v/>
      </c>
      <c r="L153" s="15" t="str">
        <f aca="false">IF(OR(K153="",I153=0),"",K153/I153)</f>
        <v/>
      </c>
      <c r="M153" s="16"/>
      <c r="N153" s="14" t="str">
        <f aca="false">IF(OR(K153="",M153=""),"",K153*M153/1000)</f>
        <v/>
      </c>
      <c r="O153" s="4"/>
      <c r="P153" s="5"/>
      <c r="Q153" s="5"/>
      <c r="R153" s="5"/>
      <c r="S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13"/>
      <c r="J154" s="13"/>
      <c r="K154" s="14" t="str">
        <f aca="false">IF(OR(I154="",J154=""),"",I154-J154)</f>
        <v/>
      </c>
      <c r="L154" s="15" t="str">
        <f aca="false">IF(OR(K154="",I154=0),"",K154/I154)</f>
        <v/>
      </c>
      <c r="M154" s="16"/>
      <c r="N154" s="14" t="str">
        <f aca="false">IF(OR(K154="",M154=""),"",K154*M154/1000)</f>
        <v/>
      </c>
      <c r="O154" s="4"/>
      <c r="P154" s="5"/>
      <c r="Q154" s="5"/>
      <c r="R154" s="5"/>
      <c r="S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13"/>
      <c r="J155" s="13"/>
      <c r="K155" s="14" t="str">
        <f aca="false">IF(OR(I155="",J155=""),"",I155-J155)</f>
        <v/>
      </c>
      <c r="L155" s="15" t="str">
        <f aca="false">IF(OR(K155="",I155=0),"",K155/I155)</f>
        <v/>
      </c>
      <c r="M155" s="16"/>
      <c r="N155" s="14" t="str">
        <f aca="false">IF(OR(K155="",M155=""),"",K155*M155/1000)</f>
        <v/>
      </c>
      <c r="O155" s="4"/>
      <c r="P155" s="5"/>
      <c r="Q155" s="5"/>
      <c r="R155" s="5"/>
      <c r="S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13"/>
      <c r="J156" s="13"/>
      <c r="K156" s="14" t="str">
        <f aca="false">IF(OR(I156="",J156=""),"",I156-J156)</f>
        <v/>
      </c>
      <c r="L156" s="15" t="str">
        <f aca="false">IF(OR(K156="",I156=0),"",K156/I156)</f>
        <v/>
      </c>
      <c r="M156" s="16"/>
      <c r="N156" s="14" t="str">
        <f aca="false">IF(OR(K156="",M156=""),"",K156*M156/1000)</f>
        <v/>
      </c>
      <c r="O156" s="4"/>
      <c r="P156" s="5"/>
      <c r="Q156" s="5"/>
      <c r="R156" s="5"/>
      <c r="S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13"/>
      <c r="J157" s="13"/>
      <c r="K157" s="14" t="str">
        <f aca="false">IF(OR(I157="",J157=""),"",I157-J157)</f>
        <v/>
      </c>
      <c r="L157" s="15" t="str">
        <f aca="false">IF(OR(K157="",I157=0),"",K157/I157)</f>
        <v/>
      </c>
      <c r="M157" s="16"/>
      <c r="N157" s="14" t="str">
        <f aca="false">IF(OR(K157="",M157=""),"",K157*M157/1000)</f>
        <v/>
      </c>
      <c r="O157" s="4"/>
      <c r="P157" s="5"/>
      <c r="Q157" s="5"/>
      <c r="R157" s="5"/>
      <c r="S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13"/>
      <c r="J158" s="13"/>
      <c r="K158" s="14" t="str">
        <f aca="false">IF(OR(I158="",J158=""),"",I158-J158)</f>
        <v/>
      </c>
      <c r="L158" s="15" t="str">
        <f aca="false">IF(OR(K158="",I158=0),"",K158/I158)</f>
        <v/>
      </c>
      <c r="M158" s="16"/>
      <c r="N158" s="14" t="str">
        <f aca="false">IF(OR(K158="",M158=""),"",K158*M158/1000)</f>
        <v/>
      </c>
      <c r="O158" s="4"/>
      <c r="P158" s="5"/>
      <c r="Q158" s="5"/>
      <c r="R158" s="5"/>
      <c r="S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13"/>
      <c r="J159" s="13"/>
      <c r="K159" s="14" t="str">
        <f aca="false">IF(OR(I159="",J159=""),"",I159-J159)</f>
        <v/>
      </c>
      <c r="L159" s="15" t="str">
        <f aca="false">IF(OR(K159="",I159=0),"",K159/I159)</f>
        <v/>
      </c>
      <c r="M159" s="16"/>
      <c r="N159" s="14" t="str">
        <f aca="false">IF(OR(K159="",M159=""),"",K159*M159/1000)</f>
        <v/>
      </c>
      <c r="O159" s="4"/>
      <c r="P159" s="5"/>
      <c r="Q159" s="5"/>
      <c r="R159" s="5"/>
      <c r="S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13"/>
      <c r="J160" s="13"/>
      <c r="K160" s="14" t="str">
        <f aca="false">IF(OR(I160="",J160=""),"",I160-J160)</f>
        <v/>
      </c>
      <c r="L160" s="15" t="str">
        <f aca="false">IF(OR(K160="",I160=0),"",K160/I160)</f>
        <v/>
      </c>
      <c r="M160" s="16"/>
      <c r="N160" s="14" t="str">
        <f aca="false">IF(OR(K160="",M160=""),"",K160*M160/1000)</f>
        <v/>
      </c>
      <c r="O160" s="4"/>
      <c r="P160" s="5"/>
      <c r="Q160" s="5"/>
      <c r="R160" s="5"/>
      <c r="S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13"/>
      <c r="J161" s="13"/>
      <c r="K161" s="14" t="str">
        <f aca="false">IF(OR(I161="",J161=""),"",I161-J161)</f>
        <v/>
      </c>
      <c r="L161" s="15" t="str">
        <f aca="false">IF(OR(K161="",I161=0),"",K161/I161)</f>
        <v/>
      </c>
      <c r="M161" s="16"/>
      <c r="N161" s="14" t="str">
        <f aca="false">IF(OR(K161="",M161=""),"",K161*M161/1000)</f>
        <v/>
      </c>
      <c r="O161" s="4"/>
      <c r="P161" s="5"/>
      <c r="Q161" s="5"/>
      <c r="R161" s="5"/>
      <c r="S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13"/>
      <c r="J162" s="13"/>
      <c r="K162" s="14" t="str">
        <f aca="false">IF(OR(I162="",J162=""),"",I162-J162)</f>
        <v/>
      </c>
      <c r="L162" s="15" t="str">
        <f aca="false">IF(OR(K162="",I162=0),"",K162/I162)</f>
        <v/>
      </c>
      <c r="M162" s="16"/>
      <c r="N162" s="14" t="str">
        <f aca="false">IF(OR(K162="",M162=""),"",K162*M162/1000)</f>
        <v/>
      </c>
      <c r="O162" s="4"/>
      <c r="P162" s="5"/>
      <c r="Q162" s="5"/>
      <c r="R162" s="5"/>
      <c r="S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13"/>
      <c r="J163" s="13"/>
      <c r="K163" s="14" t="str">
        <f aca="false">IF(OR(I163="",J163=""),"",I163-J163)</f>
        <v/>
      </c>
      <c r="L163" s="15" t="str">
        <f aca="false">IF(OR(K163="",I163=0),"",K163/I163)</f>
        <v/>
      </c>
      <c r="M163" s="16"/>
      <c r="N163" s="14" t="str">
        <f aca="false">IF(OR(K163="",M163=""),"",K163*M163/1000)</f>
        <v/>
      </c>
      <c r="O163" s="4"/>
      <c r="P163" s="5"/>
      <c r="Q163" s="5"/>
      <c r="R163" s="5"/>
      <c r="S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13"/>
      <c r="J164" s="13"/>
      <c r="K164" s="14" t="str">
        <f aca="false">IF(OR(I164="",J164=""),"",I164-J164)</f>
        <v/>
      </c>
      <c r="L164" s="15" t="str">
        <f aca="false">IF(OR(K164="",I164=0),"",K164/I164)</f>
        <v/>
      </c>
      <c r="M164" s="16"/>
      <c r="N164" s="14" t="str">
        <f aca="false">IF(OR(K164="",M164=""),"",K164*M164/1000)</f>
        <v/>
      </c>
      <c r="O164" s="4"/>
      <c r="P164" s="5"/>
      <c r="Q164" s="5"/>
      <c r="R164" s="5"/>
      <c r="S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13"/>
      <c r="J165" s="13"/>
      <c r="K165" s="14" t="str">
        <f aca="false">IF(OR(I165="",J165=""),"",I165-J165)</f>
        <v/>
      </c>
      <c r="L165" s="15" t="str">
        <f aca="false">IF(OR(K165="",I165=0),"",K165/I165)</f>
        <v/>
      </c>
      <c r="M165" s="16"/>
      <c r="N165" s="14" t="str">
        <f aca="false">IF(OR(K165="",M165=""),"",K165*M165/1000)</f>
        <v/>
      </c>
      <c r="O165" s="4"/>
      <c r="P165" s="5"/>
      <c r="Q165" s="5"/>
      <c r="R165" s="5"/>
      <c r="S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13"/>
      <c r="J166" s="13"/>
      <c r="K166" s="14" t="str">
        <f aca="false">IF(OR(I166="",J166=""),"",I166-J166)</f>
        <v/>
      </c>
      <c r="L166" s="15" t="str">
        <f aca="false">IF(OR(K166="",I166=0),"",K166/I166)</f>
        <v/>
      </c>
      <c r="M166" s="16"/>
      <c r="N166" s="14" t="str">
        <f aca="false">IF(OR(K166="",M166=""),"",K166*M166/1000)</f>
        <v/>
      </c>
      <c r="O166" s="4"/>
      <c r="P166" s="5"/>
      <c r="Q166" s="5"/>
      <c r="R166" s="5"/>
      <c r="S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13"/>
      <c r="J167" s="13"/>
      <c r="K167" s="14" t="str">
        <f aca="false">IF(OR(I167="",J167=""),"",I167-J167)</f>
        <v/>
      </c>
      <c r="L167" s="15" t="str">
        <f aca="false">IF(OR(K167="",I167=0),"",K167/I167)</f>
        <v/>
      </c>
      <c r="M167" s="16"/>
      <c r="N167" s="14" t="str">
        <f aca="false">IF(OR(K167="",M167=""),"",K167*M167/1000)</f>
        <v/>
      </c>
      <c r="O167" s="4"/>
      <c r="P167" s="5"/>
      <c r="Q167" s="5"/>
      <c r="R167" s="5"/>
      <c r="S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13"/>
      <c r="J168" s="13"/>
      <c r="K168" s="14" t="str">
        <f aca="false">IF(OR(I168="",J168=""),"",I168-J168)</f>
        <v/>
      </c>
      <c r="L168" s="15" t="str">
        <f aca="false">IF(OR(K168="",I168=0),"",K168/I168)</f>
        <v/>
      </c>
      <c r="M168" s="16"/>
      <c r="N168" s="14" t="str">
        <f aca="false">IF(OR(K168="",M168=""),"",K168*M168/1000)</f>
        <v/>
      </c>
      <c r="O168" s="4"/>
      <c r="P168" s="5"/>
      <c r="Q168" s="5"/>
      <c r="R168" s="5"/>
      <c r="S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13"/>
      <c r="J169" s="13"/>
      <c r="K169" s="14" t="str">
        <f aca="false">IF(OR(I169="",J169=""),"",I169-J169)</f>
        <v/>
      </c>
      <c r="L169" s="15" t="str">
        <f aca="false">IF(OR(K169="",I169=0),"",K169/I169)</f>
        <v/>
      </c>
      <c r="M169" s="16"/>
      <c r="N169" s="14" t="str">
        <f aca="false">IF(OR(K169="",M169=""),"",K169*M169/1000)</f>
        <v/>
      </c>
      <c r="O169" s="4"/>
      <c r="P169" s="5"/>
      <c r="Q169" s="5"/>
      <c r="R169" s="5"/>
      <c r="S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13"/>
      <c r="J170" s="13"/>
      <c r="K170" s="14" t="str">
        <f aca="false">IF(OR(I170="",J170=""),"",I170-J170)</f>
        <v/>
      </c>
      <c r="L170" s="15" t="str">
        <f aca="false">IF(OR(K170="",I170=0),"",K170/I170)</f>
        <v/>
      </c>
      <c r="M170" s="16"/>
      <c r="N170" s="14" t="str">
        <f aca="false">IF(OR(K170="",M170=""),"",K170*M170/1000)</f>
        <v/>
      </c>
      <c r="O170" s="4"/>
      <c r="P170" s="5"/>
      <c r="Q170" s="5"/>
      <c r="R170" s="5"/>
      <c r="S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13"/>
      <c r="J171" s="13"/>
      <c r="K171" s="14" t="str">
        <f aca="false">IF(OR(I171="",J171=""),"",I171-J171)</f>
        <v/>
      </c>
      <c r="L171" s="15" t="str">
        <f aca="false">IF(OR(K171="",I171=0),"",K171/I171)</f>
        <v/>
      </c>
      <c r="M171" s="16"/>
      <c r="N171" s="14" t="str">
        <f aca="false">IF(OR(K171="",M171=""),"",K171*M171/1000)</f>
        <v/>
      </c>
      <c r="O171" s="4"/>
      <c r="P171" s="5"/>
      <c r="Q171" s="5"/>
      <c r="R171" s="5"/>
      <c r="S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13"/>
      <c r="J172" s="13"/>
      <c r="K172" s="14" t="str">
        <f aca="false">IF(OR(I172="",J172=""),"",I172-J172)</f>
        <v/>
      </c>
      <c r="L172" s="15" t="str">
        <f aca="false">IF(OR(K172="",I172=0),"",K172/I172)</f>
        <v/>
      </c>
      <c r="M172" s="16"/>
      <c r="N172" s="14" t="str">
        <f aca="false">IF(OR(K172="",M172=""),"",K172*M172/1000)</f>
        <v/>
      </c>
      <c r="O172" s="4"/>
      <c r="P172" s="5"/>
      <c r="Q172" s="5"/>
      <c r="R172" s="5"/>
      <c r="S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13"/>
      <c r="J173" s="13"/>
      <c r="K173" s="14" t="str">
        <f aca="false">IF(OR(I173="",J173=""),"",I173-J173)</f>
        <v/>
      </c>
      <c r="L173" s="15" t="str">
        <f aca="false">IF(OR(K173="",I173=0),"",K173/I173)</f>
        <v/>
      </c>
      <c r="M173" s="16"/>
      <c r="N173" s="14" t="str">
        <f aca="false">IF(OR(K173="",M173=""),"",K173*M173/1000)</f>
        <v/>
      </c>
      <c r="O173" s="4"/>
      <c r="P173" s="5"/>
      <c r="Q173" s="5"/>
      <c r="R173" s="5"/>
      <c r="S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13"/>
      <c r="J174" s="13"/>
      <c r="K174" s="14" t="str">
        <f aca="false">IF(OR(I174="",J174=""),"",I174-J174)</f>
        <v/>
      </c>
      <c r="L174" s="15" t="str">
        <f aca="false">IF(OR(K174="",I174=0),"",K174/I174)</f>
        <v/>
      </c>
      <c r="M174" s="16"/>
      <c r="N174" s="14" t="str">
        <f aca="false">IF(OR(K174="",M174=""),"",K174*M174/1000)</f>
        <v/>
      </c>
      <c r="O174" s="4"/>
      <c r="P174" s="5"/>
      <c r="Q174" s="5"/>
      <c r="R174" s="5"/>
      <c r="S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13"/>
      <c r="J175" s="13"/>
      <c r="K175" s="14" t="str">
        <f aca="false">IF(OR(I175="",J175=""),"",I175-J175)</f>
        <v/>
      </c>
      <c r="L175" s="15" t="str">
        <f aca="false">IF(OR(K175="",I175=0),"",K175/I175)</f>
        <v/>
      </c>
      <c r="M175" s="16"/>
      <c r="N175" s="14" t="str">
        <f aca="false">IF(OR(K175="",M175=""),"",K175*M175/1000)</f>
        <v/>
      </c>
      <c r="O175" s="4"/>
      <c r="P175" s="5"/>
      <c r="Q175" s="5"/>
      <c r="R175" s="5"/>
      <c r="S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13"/>
      <c r="J176" s="13"/>
      <c r="K176" s="14" t="str">
        <f aca="false">IF(OR(I176="",J176=""),"",I176-J176)</f>
        <v/>
      </c>
      <c r="L176" s="15" t="str">
        <f aca="false">IF(OR(K176="",I176=0),"",K176/I176)</f>
        <v/>
      </c>
      <c r="M176" s="16"/>
      <c r="N176" s="14" t="str">
        <f aca="false">IF(OR(K176="",M176=""),"",K176*M176/1000)</f>
        <v/>
      </c>
      <c r="O176" s="4"/>
      <c r="P176" s="5"/>
      <c r="Q176" s="5"/>
      <c r="R176" s="5"/>
      <c r="S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13"/>
      <c r="J177" s="13"/>
      <c r="K177" s="14" t="str">
        <f aca="false">IF(OR(I177="",J177=""),"",I177-J177)</f>
        <v/>
      </c>
      <c r="L177" s="15" t="str">
        <f aca="false">IF(OR(K177="",I177=0),"",K177/I177)</f>
        <v/>
      </c>
      <c r="M177" s="16"/>
      <c r="N177" s="14" t="str">
        <f aca="false">IF(OR(K177="",M177=""),"",K177*M177/1000)</f>
        <v/>
      </c>
      <c r="O177" s="4"/>
      <c r="P177" s="5"/>
      <c r="Q177" s="5"/>
      <c r="R177" s="5"/>
      <c r="S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13"/>
      <c r="J178" s="13"/>
      <c r="K178" s="14" t="str">
        <f aca="false">IF(OR(I178="",J178=""),"",I178-J178)</f>
        <v/>
      </c>
      <c r="L178" s="15" t="str">
        <f aca="false">IF(OR(K178="",I178=0),"",K178/I178)</f>
        <v/>
      </c>
      <c r="M178" s="16"/>
      <c r="N178" s="14" t="str">
        <f aca="false">IF(OR(K178="",M178=""),"",K178*M178/1000)</f>
        <v/>
      </c>
      <c r="O178" s="4"/>
      <c r="P178" s="5"/>
      <c r="Q178" s="5"/>
      <c r="R178" s="5"/>
      <c r="S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13"/>
      <c r="J179" s="13"/>
      <c r="K179" s="14" t="str">
        <f aca="false">IF(OR(I179="",J179=""),"",I179-J179)</f>
        <v/>
      </c>
      <c r="L179" s="15" t="str">
        <f aca="false">IF(OR(K179="",I179=0),"",K179/I179)</f>
        <v/>
      </c>
      <c r="M179" s="16"/>
      <c r="N179" s="14" t="str">
        <f aca="false">IF(OR(K179="",M179=""),"",K179*M179/1000)</f>
        <v/>
      </c>
      <c r="O179" s="4"/>
      <c r="P179" s="5"/>
      <c r="Q179" s="5"/>
      <c r="R179" s="5"/>
      <c r="S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13"/>
      <c r="J180" s="13"/>
      <c r="K180" s="14" t="str">
        <f aca="false">IF(OR(I180="",J180=""),"",I180-J180)</f>
        <v/>
      </c>
      <c r="L180" s="15" t="str">
        <f aca="false">IF(OR(K180="",I180=0),"",K180/I180)</f>
        <v/>
      </c>
      <c r="M180" s="16"/>
      <c r="N180" s="14" t="str">
        <f aca="false">IF(OR(K180="",M180=""),"",K180*M180/1000)</f>
        <v/>
      </c>
      <c r="O180" s="4"/>
      <c r="P180" s="5"/>
      <c r="Q180" s="5"/>
      <c r="R180" s="5"/>
      <c r="S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13"/>
      <c r="J181" s="13"/>
      <c r="K181" s="14" t="str">
        <f aca="false">IF(OR(I181="",J181=""),"",I181-J181)</f>
        <v/>
      </c>
      <c r="L181" s="15" t="str">
        <f aca="false">IF(OR(K181="",I181=0),"",K181/I181)</f>
        <v/>
      </c>
      <c r="M181" s="16"/>
      <c r="N181" s="14" t="str">
        <f aca="false">IF(OR(K181="",M181=""),"",K181*M181/1000)</f>
        <v/>
      </c>
      <c r="O181" s="4"/>
      <c r="P181" s="5"/>
      <c r="Q181" s="5"/>
      <c r="R181" s="5"/>
      <c r="S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13"/>
      <c r="J182" s="13"/>
      <c r="K182" s="14" t="str">
        <f aca="false">IF(OR(I182="",J182=""),"",I182-J182)</f>
        <v/>
      </c>
      <c r="L182" s="15" t="str">
        <f aca="false">IF(OR(K182="",I182=0),"",K182/I182)</f>
        <v/>
      </c>
      <c r="M182" s="16"/>
      <c r="N182" s="14" t="str">
        <f aca="false">IF(OR(K182="",M182=""),"",K182*M182/1000)</f>
        <v/>
      </c>
      <c r="O182" s="4"/>
      <c r="P182" s="5"/>
      <c r="Q182" s="5"/>
      <c r="R182" s="5"/>
      <c r="S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13"/>
      <c r="J183" s="13"/>
      <c r="K183" s="14" t="str">
        <f aca="false">IF(OR(I183="",J183=""),"",I183-J183)</f>
        <v/>
      </c>
      <c r="L183" s="15" t="str">
        <f aca="false">IF(OR(K183="",I183=0),"",K183/I183)</f>
        <v/>
      </c>
      <c r="M183" s="16"/>
      <c r="N183" s="14" t="str">
        <f aca="false">IF(OR(K183="",M183=""),"",K183*M183/1000)</f>
        <v/>
      </c>
      <c r="O183" s="4"/>
      <c r="P183" s="5"/>
      <c r="Q183" s="5"/>
      <c r="R183" s="5"/>
      <c r="S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13"/>
      <c r="J184" s="13"/>
      <c r="K184" s="14" t="str">
        <f aca="false">IF(OR(I184="",J184=""),"",I184-J184)</f>
        <v/>
      </c>
      <c r="L184" s="15" t="str">
        <f aca="false">IF(OR(K184="",I184=0),"",K184/I184)</f>
        <v/>
      </c>
      <c r="M184" s="16"/>
      <c r="N184" s="14" t="str">
        <f aca="false">IF(OR(K184="",M184=""),"",K184*M184/1000)</f>
        <v/>
      </c>
      <c r="O184" s="4"/>
      <c r="P184" s="5"/>
      <c r="Q184" s="5"/>
      <c r="R184" s="5"/>
      <c r="S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13"/>
      <c r="J185" s="13"/>
      <c r="K185" s="14" t="str">
        <f aca="false">IF(OR(I185="",J185=""),"",I185-J185)</f>
        <v/>
      </c>
      <c r="L185" s="15" t="str">
        <f aca="false">IF(OR(K185="",I185=0),"",K185/I185)</f>
        <v/>
      </c>
      <c r="M185" s="16"/>
      <c r="N185" s="14" t="str">
        <f aca="false">IF(OR(K185="",M185=""),"",K185*M185/1000)</f>
        <v/>
      </c>
      <c r="O185" s="4"/>
      <c r="P185" s="5"/>
      <c r="Q185" s="5"/>
      <c r="R185" s="5"/>
      <c r="S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13"/>
      <c r="J186" s="13"/>
      <c r="K186" s="14" t="str">
        <f aca="false">IF(OR(I186="",J186=""),"",I186-J186)</f>
        <v/>
      </c>
      <c r="L186" s="15" t="str">
        <f aca="false">IF(OR(K186="",I186=0),"",K186/I186)</f>
        <v/>
      </c>
      <c r="M186" s="16"/>
      <c r="N186" s="14" t="str">
        <f aca="false">IF(OR(K186="",M186=""),"",K186*M186/1000)</f>
        <v/>
      </c>
      <c r="O186" s="4"/>
      <c r="P186" s="5"/>
      <c r="Q186" s="5"/>
      <c r="R186" s="5"/>
      <c r="S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13"/>
      <c r="J187" s="13"/>
      <c r="K187" s="14" t="str">
        <f aca="false">IF(OR(I187="",J187=""),"",I187-J187)</f>
        <v/>
      </c>
      <c r="L187" s="15" t="str">
        <f aca="false">IF(OR(K187="",I187=0),"",K187/I187)</f>
        <v/>
      </c>
      <c r="M187" s="16"/>
      <c r="N187" s="14" t="str">
        <f aca="false">IF(OR(K187="",M187=""),"",K187*M187/1000)</f>
        <v/>
      </c>
      <c r="O187" s="4"/>
      <c r="P187" s="5"/>
      <c r="Q187" s="5"/>
      <c r="R187" s="5"/>
      <c r="S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13"/>
      <c r="J188" s="13"/>
      <c r="K188" s="14" t="str">
        <f aca="false">IF(OR(I188="",J188=""),"",I188-J188)</f>
        <v/>
      </c>
      <c r="L188" s="15" t="str">
        <f aca="false">IF(OR(K188="",I188=0),"",K188/I188)</f>
        <v/>
      </c>
      <c r="M188" s="16"/>
      <c r="N188" s="14" t="str">
        <f aca="false">IF(OR(K188="",M188=""),"",K188*M188/1000)</f>
        <v/>
      </c>
      <c r="O188" s="4"/>
      <c r="P188" s="5"/>
      <c r="Q188" s="5"/>
      <c r="R188" s="5"/>
      <c r="S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13"/>
      <c r="J189" s="13"/>
      <c r="K189" s="14" t="str">
        <f aca="false">IF(OR(I189="",J189=""),"",I189-J189)</f>
        <v/>
      </c>
      <c r="L189" s="15" t="str">
        <f aca="false">IF(OR(K189="",I189=0),"",K189/I189)</f>
        <v/>
      </c>
      <c r="M189" s="16"/>
      <c r="N189" s="14" t="str">
        <f aca="false">IF(OR(K189="",M189=""),"",K189*M189/1000)</f>
        <v/>
      </c>
      <c r="O189" s="4"/>
      <c r="P189" s="5"/>
      <c r="Q189" s="5"/>
      <c r="R189" s="5"/>
      <c r="S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13"/>
      <c r="J190" s="13"/>
      <c r="K190" s="14" t="str">
        <f aca="false">IF(OR(I190="",J190=""),"",I190-J190)</f>
        <v/>
      </c>
      <c r="L190" s="15" t="str">
        <f aca="false">IF(OR(K190="",I190=0),"",K190/I190)</f>
        <v/>
      </c>
      <c r="M190" s="16"/>
      <c r="N190" s="14" t="str">
        <f aca="false">IF(OR(K190="",M190=""),"",K190*M190/1000)</f>
        <v/>
      </c>
      <c r="O190" s="4"/>
      <c r="P190" s="5"/>
      <c r="Q190" s="5"/>
      <c r="R190" s="5"/>
      <c r="S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13"/>
      <c r="J191" s="13"/>
      <c r="K191" s="14" t="str">
        <f aca="false">IF(OR(I191="",J191=""),"",I191-J191)</f>
        <v/>
      </c>
      <c r="L191" s="15" t="str">
        <f aca="false">IF(OR(K191="",I191=0),"",K191/I191)</f>
        <v/>
      </c>
      <c r="M191" s="16"/>
      <c r="N191" s="14" t="str">
        <f aca="false">IF(OR(K191="",M191=""),"",K191*M191/1000)</f>
        <v/>
      </c>
      <c r="O191" s="4"/>
      <c r="P191" s="5"/>
      <c r="Q191" s="5"/>
      <c r="R191" s="5"/>
      <c r="S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13"/>
      <c r="J192" s="13"/>
      <c r="K192" s="14" t="str">
        <f aca="false">IF(OR(I192="",J192=""),"",I192-J192)</f>
        <v/>
      </c>
      <c r="L192" s="15" t="str">
        <f aca="false">IF(OR(K192="",I192=0),"",K192/I192)</f>
        <v/>
      </c>
      <c r="M192" s="16"/>
      <c r="N192" s="14" t="str">
        <f aca="false">IF(OR(K192="",M192=""),"",K192*M192/1000)</f>
        <v/>
      </c>
      <c r="O192" s="4"/>
      <c r="P192" s="5"/>
      <c r="Q192" s="5"/>
      <c r="R192" s="5"/>
      <c r="S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13"/>
      <c r="J193" s="13"/>
      <c r="K193" s="14" t="str">
        <f aca="false">IF(OR(I193="",J193=""),"",I193-J193)</f>
        <v/>
      </c>
      <c r="L193" s="15" t="str">
        <f aca="false">IF(OR(K193="",I193=0),"",K193/I193)</f>
        <v/>
      </c>
      <c r="M193" s="16"/>
      <c r="N193" s="14" t="str">
        <f aca="false">IF(OR(K193="",M193=""),"",K193*M193/1000)</f>
        <v/>
      </c>
      <c r="O193" s="4"/>
      <c r="P193" s="5"/>
      <c r="Q193" s="5"/>
      <c r="R193" s="5"/>
      <c r="S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13"/>
      <c r="J194" s="13"/>
      <c r="K194" s="14" t="str">
        <f aca="false">IF(OR(I194="",J194=""),"",I194-J194)</f>
        <v/>
      </c>
      <c r="L194" s="15" t="str">
        <f aca="false">IF(OR(K194="",I194=0),"",K194/I194)</f>
        <v/>
      </c>
      <c r="M194" s="16"/>
      <c r="N194" s="14" t="str">
        <f aca="false">IF(OR(K194="",M194=""),"",K194*M194/1000)</f>
        <v/>
      </c>
      <c r="O194" s="4"/>
      <c r="P194" s="5"/>
      <c r="Q194" s="5"/>
      <c r="R194" s="5"/>
      <c r="S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13"/>
      <c r="J195" s="13"/>
      <c r="K195" s="14" t="str">
        <f aca="false">IF(OR(I195="",J195=""),"",I195-J195)</f>
        <v/>
      </c>
      <c r="L195" s="15" t="str">
        <f aca="false">IF(OR(K195="",I195=0),"",K195/I195)</f>
        <v/>
      </c>
      <c r="M195" s="16"/>
      <c r="N195" s="14" t="str">
        <f aca="false">IF(OR(K195="",M195=""),"",K195*M195/1000)</f>
        <v/>
      </c>
      <c r="O195" s="4"/>
      <c r="P195" s="5"/>
      <c r="Q195" s="5"/>
      <c r="R195" s="5"/>
      <c r="S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13"/>
      <c r="J196" s="13"/>
      <c r="K196" s="14" t="str">
        <f aca="false">IF(OR(I196="",J196=""),"",I196-J196)</f>
        <v/>
      </c>
      <c r="L196" s="15" t="str">
        <f aca="false">IF(OR(K196="",I196=0),"",K196/I196)</f>
        <v/>
      </c>
      <c r="M196" s="16"/>
      <c r="N196" s="14" t="str">
        <f aca="false">IF(OR(K196="",M196=""),"",K196*M196/1000)</f>
        <v/>
      </c>
      <c r="O196" s="4"/>
      <c r="P196" s="5"/>
      <c r="Q196" s="5"/>
      <c r="R196" s="5"/>
      <c r="S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13"/>
      <c r="J197" s="13"/>
      <c r="K197" s="14" t="str">
        <f aca="false">IF(OR(I197="",J197=""),"",I197-J197)</f>
        <v/>
      </c>
      <c r="L197" s="15" t="str">
        <f aca="false">IF(OR(K197="",I197=0),"",K197/I197)</f>
        <v/>
      </c>
      <c r="M197" s="16"/>
      <c r="N197" s="14" t="str">
        <f aca="false">IF(OR(K197="",M197=""),"",K197*M197/1000)</f>
        <v/>
      </c>
      <c r="O197" s="4"/>
      <c r="P197" s="5"/>
      <c r="Q197" s="5"/>
      <c r="R197" s="5"/>
      <c r="S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13"/>
      <c r="J198" s="13"/>
      <c r="K198" s="14" t="str">
        <f aca="false">IF(OR(I198="",J198=""),"",I198-J198)</f>
        <v/>
      </c>
      <c r="L198" s="15" t="str">
        <f aca="false">IF(OR(K198="",I198=0),"",K198/I198)</f>
        <v/>
      </c>
      <c r="M198" s="16"/>
      <c r="N198" s="14" t="str">
        <f aca="false">IF(OR(K198="",M198=""),"",K198*M198/1000)</f>
        <v/>
      </c>
      <c r="O198" s="4"/>
      <c r="P198" s="5"/>
      <c r="Q198" s="5"/>
      <c r="R198" s="5"/>
      <c r="S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13"/>
      <c r="J199" s="13"/>
      <c r="K199" s="14" t="str">
        <f aca="false">IF(OR(I199="",J199=""),"",I199-J199)</f>
        <v/>
      </c>
      <c r="L199" s="15" t="str">
        <f aca="false">IF(OR(K199="",I199=0),"",K199/I199)</f>
        <v/>
      </c>
      <c r="M199" s="16"/>
      <c r="N199" s="14" t="str">
        <f aca="false">IF(OR(K199="",M199=""),"",K199*M199/1000)</f>
        <v/>
      </c>
      <c r="O199" s="4"/>
      <c r="P199" s="5"/>
      <c r="Q199" s="5"/>
      <c r="R199" s="5"/>
      <c r="S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13"/>
      <c r="J200" s="13"/>
      <c r="K200" s="14" t="str">
        <f aca="false">IF(OR(I200="",J200=""),"",I200-J200)</f>
        <v/>
      </c>
      <c r="L200" s="15" t="str">
        <f aca="false">IF(OR(K200="",I200=0),"",K200/I200)</f>
        <v/>
      </c>
      <c r="M200" s="16"/>
      <c r="N200" s="14" t="str">
        <f aca="false">IF(OR(K200="",M200=""),"",K200*M200/1000)</f>
        <v/>
      </c>
      <c r="O200" s="4"/>
      <c r="P200" s="5"/>
      <c r="Q200" s="5"/>
      <c r="R200" s="5"/>
      <c r="S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13"/>
      <c r="J201" s="13"/>
      <c r="K201" s="14" t="str">
        <f aca="false">IF(OR(I201="",J201=""),"",I201-J201)</f>
        <v/>
      </c>
      <c r="L201" s="15" t="str">
        <f aca="false">IF(OR(K201="",I201=0),"",K201/I201)</f>
        <v/>
      </c>
      <c r="M201" s="16"/>
      <c r="N201" s="14" t="str">
        <f aca="false">IF(OR(K201="",M201=""),"",K201*M201/1000)</f>
        <v/>
      </c>
      <c r="O201" s="4"/>
      <c r="P201" s="5"/>
      <c r="Q201" s="5"/>
      <c r="R201" s="5"/>
      <c r="S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13"/>
      <c r="J202" s="13"/>
      <c r="K202" s="14" t="str">
        <f aca="false">IF(OR(I202="",J202=""),"",I202-J202)</f>
        <v/>
      </c>
      <c r="L202" s="15" t="str">
        <f aca="false">IF(OR(K202="",I202=0),"",K202/I202)</f>
        <v/>
      </c>
      <c r="M202" s="16"/>
      <c r="N202" s="14" t="str">
        <f aca="false">IF(OR(K202="",M202=""),"",K202*M202/1000)</f>
        <v/>
      </c>
      <c r="O202" s="4"/>
      <c r="P202" s="5"/>
      <c r="Q202" s="5"/>
      <c r="R202" s="5"/>
      <c r="S202" s="4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13"/>
      <c r="J203" s="13"/>
      <c r="K203" s="14" t="str">
        <f aca="false">IF(OR(I203="",J203=""),"",I203-J203)</f>
        <v/>
      </c>
      <c r="L203" s="15" t="str">
        <f aca="false">IF(OR(K203="",I203=0),"",K203/I203)</f>
        <v/>
      </c>
      <c r="M203" s="16"/>
      <c r="N203" s="14" t="str">
        <f aca="false">IF(OR(K203="",M203=""),"",K203*M203/1000)</f>
        <v/>
      </c>
      <c r="O203" s="4"/>
      <c r="P203" s="5"/>
      <c r="Q203" s="5"/>
      <c r="R203" s="5"/>
      <c r="S203" s="4"/>
    </row>
    <row r="204" customFormat="false" ht="1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13"/>
      <c r="J204" s="13"/>
      <c r="K204" s="14" t="str">
        <f aca="false">IF(OR(I204="",J204=""),"",I204-J204)</f>
        <v/>
      </c>
      <c r="L204" s="15" t="str">
        <f aca="false">IF(OR(K204="",I204=0),"",K204/I204)</f>
        <v/>
      </c>
      <c r="M204" s="16"/>
      <c r="N204" s="14" t="str">
        <f aca="false">IF(OR(K204="",M204=""),"",K204*M204/1000)</f>
        <v/>
      </c>
      <c r="O204" s="4"/>
      <c r="P204" s="5"/>
      <c r="Q204" s="5"/>
      <c r="R204" s="5"/>
      <c r="S204" s="4"/>
    </row>
    <row r="205" customFormat="false" ht="1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13"/>
      <c r="J205" s="13"/>
      <c r="K205" s="14" t="str">
        <f aca="false">IF(OR(I205="",J205=""),"",I205-J205)</f>
        <v/>
      </c>
      <c r="L205" s="15" t="str">
        <f aca="false">IF(OR(K205="",I205=0),"",K205/I205)</f>
        <v/>
      </c>
      <c r="M205" s="16"/>
      <c r="N205" s="14" t="str">
        <f aca="false">IF(OR(K205="",M205=""),"",K205*M205/1000)</f>
        <v/>
      </c>
      <c r="O205" s="4"/>
      <c r="P205" s="5"/>
      <c r="Q205" s="5"/>
      <c r="R205" s="5"/>
      <c r="S205" s="4"/>
    </row>
    <row r="206" customFormat="false" ht="1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13"/>
      <c r="J206" s="13"/>
      <c r="K206" s="14" t="str">
        <f aca="false">IF(OR(I206="",J206=""),"",I206-J206)</f>
        <v/>
      </c>
      <c r="L206" s="15" t="str">
        <f aca="false">IF(OR(K206="",I206=0),"",K206/I206)</f>
        <v/>
      </c>
      <c r="M206" s="16"/>
      <c r="N206" s="14" t="str">
        <f aca="false">IF(OR(K206="",M206=""),"",K206*M206/1000)</f>
        <v/>
      </c>
      <c r="O206" s="4"/>
      <c r="P206" s="5"/>
      <c r="Q206" s="5"/>
      <c r="R206" s="5"/>
      <c r="S206" s="4"/>
    </row>
    <row r="207" customFormat="false" ht="1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13"/>
      <c r="J207" s="13"/>
      <c r="K207" s="14" t="str">
        <f aca="false">IF(OR(I207="",J207=""),"",I207-J207)</f>
        <v/>
      </c>
      <c r="L207" s="15" t="str">
        <f aca="false">IF(OR(K207="",I207=0),"",K207/I207)</f>
        <v/>
      </c>
      <c r="M207" s="16"/>
      <c r="N207" s="14" t="str">
        <f aca="false">IF(OR(K207="",M207=""),"",K207*M207/1000)</f>
        <v/>
      </c>
      <c r="O207" s="4"/>
      <c r="P207" s="5"/>
      <c r="Q207" s="5"/>
      <c r="R207" s="5"/>
      <c r="S207" s="4"/>
    </row>
  </sheetData>
  <autoFilter ref="A7:S207"/>
  <dataValidations count="4">
    <dataValidation allowBlank="true" error="Pick a buyer from the list." errorStyle="stop" errorTitle="Invalid value" operator="between" showDropDown="false" showErrorMessage="true" showInputMessage="false" sqref="E8:E207" type="list">
      <formula1>Lists!$B$2:$B$5</formula1>
      <formula2>0</formula2>
    </dataValidation>
    <dataValidation allowBlank="true" error="Pick a vehicle from the list." errorStyle="stop" errorTitle="Invalid value" operator="between" showDropDown="false" showErrorMessage="true" showInputMessage="false" sqref="G8:G207" type="list">
      <formula1>Lists!$C$2:$C$6</formula1>
      <formula2>0</formula2>
    </dataValidation>
    <dataValidation allowBlank="true" error="Pick a status from the list." errorStyle="stop" errorTitle="Invalid value" operator="between" showDropDown="false" showErrorMessage="true" showInputMessage="false" sqref="O8:O207" type="list">
      <formula1>Lists!$A$2:$A$6</formula1>
      <formula2>0</formula2>
    </dataValidation>
    <dataValidation allowBlank="true" error="Pick a group from the list." errorStyle="stop" errorTitle="Invalid value" operator="between" showDropDown="false" showErrorMessage="true" showInputMessage="false" sqref="E4" type="list">
      <formula1>Lists!$E$2:$E$5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7" t="s">
        <v>38</v>
      </c>
    </row>
    <row r="3" customFormat="false" ht="15" hidden="false" customHeight="false" outlineLevel="0" collapsed="false">
      <c r="A3" s="18" t="s">
        <v>39</v>
      </c>
      <c r="B3" s="18" t="s">
        <v>40</v>
      </c>
      <c r="C3" s="18" t="s">
        <v>41</v>
      </c>
    </row>
    <row r="4" customFormat="false" ht="15" hidden="false" customHeight="false" outlineLevel="0" collapsed="false">
      <c r="A4" s="19" t="s">
        <v>9</v>
      </c>
      <c r="B4" s="19" t="s">
        <v>2</v>
      </c>
      <c r="C4" s="19" t="s">
        <v>42</v>
      </c>
    </row>
    <row r="5" customFormat="false" ht="15" hidden="false" customHeight="false" outlineLevel="0" collapsed="false">
      <c r="A5" s="19" t="s">
        <v>10</v>
      </c>
      <c r="B5" s="19" t="s">
        <v>2</v>
      </c>
      <c r="C5" s="19" t="s">
        <v>43</v>
      </c>
    </row>
    <row r="6" customFormat="false" ht="15" hidden="false" customHeight="false" outlineLevel="0" collapsed="false">
      <c r="A6" s="19" t="s">
        <v>11</v>
      </c>
      <c r="B6" s="19" t="s">
        <v>2</v>
      </c>
      <c r="C6" s="19" t="s">
        <v>44</v>
      </c>
    </row>
    <row r="7" customFormat="false" ht="15" hidden="false" customHeight="false" outlineLevel="0" collapsed="false">
      <c r="A7" s="19" t="s">
        <v>12</v>
      </c>
      <c r="B7" s="19" t="s">
        <v>2</v>
      </c>
      <c r="C7" s="19" t="s">
        <v>45</v>
      </c>
    </row>
    <row r="8" customFormat="false" ht="15" hidden="false" customHeight="false" outlineLevel="0" collapsed="false">
      <c r="A8" s="19" t="s">
        <v>13</v>
      </c>
      <c r="B8" s="19" t="s">
        <v>2</v>
      </c>
      <c r="C8" s="19" t="s">
        <v>46</v>
      </c>
    </row>
    <row r="9" customFormat="false" ht="26.85" hidden="false" customHeight="false" outlineLevel="0" collapsed="false">
      <c r="A9" s="19" t="s">
        <v>14</v>
      </c>
      <c r="B9" s="19" t="s">
        <v>2</v>
      </c>
      <c r="C9" s="19" t="s">
        <v>47</v>
      </c>
    </row>
    <row r="10" customFormat="false" ht="15" hidden="false" customHeight="false" outlineLevel="0" collapsed="false">
      <c r="A10" s="19" t="s">
        <v>15</v>
      </c>
      <c r="B10" s="19" t="s">
        <v>2</v>
      </c>
      <c r="C10" s="19" t="s">
        <v>48</v>
      </c>
    </row>
    <row r="11" customFormat="false" ht="15" hidden="false" customHeight="false" outlineLevel="0" collapsed="false">
      <c r="A11" s="19" t="s">
        <v>16</v>
      </c>
      <c r="B11" s="19" t="s">
        <v>2</v>
      </c>
      <c r="C11" s="19" t="s">
        <v>49</v>
      </c>
    </row>
    <row r="12" customFormat="false" ht="15" hidden="false" customHeight="false" outlineLevel="0" collapsed="false">
      <c r="A12" s="19" t="s">
        <v>17</v>
      </c>
      <c r="B12" s="19" t="s">
        <v>2</v>
      </c>
      <c r="C12" s="19" t="s">
        <v>50</v>
      </c>
    </row>
    <row r="13" customFormat="false" ht="15" hidden="false" customHeight="false" outlineLevel="0" collapsed="false">
      <c r="A13" s="19" t="s">
        <v>18</v>
      </c>
      <c r="B13" s="19" t="s">
        <v>2</v>
      </c>
      <c r="C13" s="19" t="s">
        <v>51</v>
      </c>
    </row>
    <row r="14" customFormat="false" ht="15" hidden="false" customHeight="false" outlineLevel="0" collapsed="false">
      <c r="A14" s="19" t="s">
        <v>19</v>
      </c>
      <c r="B14" s="19" t="s">
        <v>52</v>
      </c>
      <c r="C14" s="19" t="s">
        <v>53</v>
      </c>
    </row>
    <row r="15" customFormat="false" ht="15" hidden="false" customHeight="false" outlineLevel="0" collapsed="false">
      <c r="A15" s="19" t="s">
        <v>20</v>
      </c>
      <c r="B15" s="19" t="s">
        <v>52</v>
      </c>
      <c r="C15" s="19" t="s">
        <v>54</v>
      </c>
    </row>
    <row r="16" customFormat="false" ht="15" hidden="false" customHeight="false" outlineLevel="0" collapsed="false">
      <c r="A16" s="19" t="s">
        <v>21</v>
      </c>
      <c r="B16" s="19" t="s">
        <v>2</v>
      </c>
      <c r="C16" s="19" t="s">
        <v>55</v>
      </c>
    </row>
    <row r="17" customFormat="false" ht="15" hidden="false" customHeight="false" outlineLevel="0" collapsed="false">
      <c r="A17" s="19" t="s">
        <v>22</v>
      </c>
      <c r="B17" s="19" t="s">
        <v>52</v>
      </c>
      <c r="C17" s="19" t="s">
        <v>56</v>
      </c>
    </row>
    <row r="18" customFormat="false" ht="15" hidden="false" customHeight="false" outlineLevel="0" collapsed="false">
      <c r="A18" s="19" t="s">
        <v>23</v>
      </c>
      <c r="B18" s="19" t="s">
        <v>57</v>
      </c>
      <c r="C18" s="19" t="s">
        <v>58</v>
      </c>
    </row>
    <row r="19" customFormat="false" ht="15" hidden="false" customHeight="false" outlineLevel="0" collapsed="false">
      <c r="A19" s="19" t="s">
        <v>24</v>
      </c>
      <c r="B19" s="19" t="s">
        <v>2</v>
      </c>
      <c r="C19" s="19" t="s">
        <v>59</v>
      </c>
    </row>
    <row r="20" customFormat="false" ht="15" hidden="false" customHeight="false" outlineLevel="0" collapsed="false">
      <c r="A20" s="19" t="s">
        <v>25</v>
      </c>
      <c r="B20" s="19" t="s">
        <v>2</v>
      </c>
      <c r="C20" s="19" t="s">
        <v>60</v>
      </c>
    </row>
    <row r="21" customFormat="false" ht="15" hidden="false" customHeight="false" outlineLevel="0" collapsed="false">
      <c r="A21" s="19" t="s">
        <v>26</v>
      </c>
      <c r="B21" s="19" t="s">
        <v>2</v>
      </c>
      <c r="C21" s="19" t="s">
        <v>61</v>
      </c>
    </row>
    <row r="22" customFormat="false" ht="15" hidden="false" customHeight="false" outlineLevel="0" collapsed="false">
      <c r="A22" s="19" t="s">
        <v>27</v>
      </c>
      <c r="B22" s="19" t="s">
        <v>62</v>
      </c>
      <c r="C22" s="19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15" hidden="false" customHeight="false" outlineLevel="0" collapsed="false">
      <c r="A1" s="18" t="s">
        <v>23</v>
      </c>
      <c r="B1" s="18" t="s">
        <v>13</v>
      </c>
      <c r="C1" s="18" t="s">
        <v>15</v>
      </c>
      <c r="D1" s="18" t="s">
        <v>64</v>
      </c>
      <c r="E1" s="18" t="s">
        <v>6</v>
      </c>
    </row>
    <row r="2" customFormat="false" ht="15" hidden="false" customHeight="false" outlineLevel="0" collapsed="false">
      <c r="A2" s="20" t="s">
        <v>65</v>
      </c>
      <c r="B2" s="20" t="s">
        <v>66</v>
      </c>
      <c r="C2" s="20" t="s">
        <v>67</v>
      </c>
      <c r="D2" s="20" t="s">
        <v>68</v>
      </c>
      <c r="E2" s="20" t="s">
        <v>7</v>
      </c>
    </row>
    <row r="3" customFormat="false" ht="15" hidden="false" customHeight="false" outlineLevel="0" collapsed="false">
      <c r="A3" s="20" t="s">
        <v>69</v>
      </c>
      <c r="B3" s="20" t="s">
        <v>32</v>
      </c>
      <c r="C3" s="20" t="s">
        <v>70</v>
      </c>
      <c r="D3" s="20" t="s">
        <v>71</v>
      </c>
      <c r="E3" s="20" t="s">
        <v>72</v>
      </c>
    </row>
    <row r="4" customFormat="false" ht="15" hidden="false" customHeight="false" outlineLevel="0" collapsed="false">
      <c r="A4" s="20" t="s">
        <v>36</v>
      </c>
      <c r="B4" s="20" t="s">
        <v>73</v>
      </c>
      <c r="C4" s="20" t="s">
        <v>34</v>
      </c>
      <c r="D4" s="20" t="s">
        <v>74</v>
      </c>
      <c r="E4" s="20" t="s">
        <v>75</v>
      </c>
    </row>
    <row r="5" customFormat="false" ht="15" hidden="false" customHeight="false" outlineLevel="0" collapsed="false">
      <c r="A5" s="20" t="s">
        <v>76</v>
      </c>
      <c r="B5" s="20" t="s">
        <v>77</v>
      </c>
      <c r="C5" s="20" t="s">
        <v>78</v>
      </c>
      <c r="D5" s="20" t="s">
        <v>79</v>
      </c>
      <c r="E5" s="20" t="s">
        <v>80</v>
      </c>
    </row>
    <row r="6" customFormat="false" ht="15" hidden="false" customHeight="false" outlineLevel="0" collapsed="false">
      <c r="A6" s="20" t="s">
        <v>81</v>
      </c>
      <c r="C6" s="20" t="s">
        <v>82</v>
      </c>
      <c r="D6" s="20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2026-10-08T19:58:52Z</dcterms:created>
  <dc:creator>openpyxl</dc:creator>
  <dc:description/>
  <dc:language>en-US</dc:language>
  <cp:lastModifiedBy/>
  <dcterms:modified xsi:type="dcterms:W3CDTF">2026-10-08T19:58:53Z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